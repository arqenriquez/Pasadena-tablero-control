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5dc9ab05c5d49/02. METTA/00. METTA - 2026/06. CASETA PASADENA - LC PROYECTOS/REPORTES SEMANALES/"/>
    </mc:Choice>
  </mc:AlternateContent>
  <xr:revisionPtr revIDLastSave="15264" documentId="8_{C21C73ED-31DF-4D56-8E26-DF18C4F6C866}" xr6:coauthVersionLast="47" xr6:coauthVersionMax="47" xr10:uidLastSave="{362373C8-AA91-47A4-9036-74654C468EE9}"/>
  <bookViews>
    <workbookView xWindow="-120" yWindow="-120" windowWidth="29040" windowHeight="15720" xr2:uid="{C43E5813-81DF-4711-814F-F72BD395C9AB}"/>
  </bookViews>
  <sheets>
    <sheet name="REPORTE" sheetId="1" r:id="rId1"/>
    <sheet name="AVANCES" sheetId="13" r:id="rId2"/>
    <sheet name="CURVA S BASE" sheetId="11" r:id="rId3"/>
  </sheets>
  <definedNames>
    <definedName name="_xlnm.Print_Area" localSheetId="0">REPORTE!$A$1:$N$271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H53" i="1"/>
  <c r="B57" i="1"/>
  <c r="B56" i="1"/>
  <c r="B55" i="1"/>
  <c r="B54" i="1"/>
  <c r="B53" i="1"/>
  <c r="B52" i="1"/>
  <c r="B51" i="1"/>
  <c r="B50" i="1"/>
  <c r="B49" i="1"/>
  <c r="B48" i="1"/>
  <c r="B47" i="1"/>
  <c r="B46" i="1"/>
  <c r="E9" i="11"/>
  <c r="H9" i="11"/>
  <c r="G9" i="11"/>
  <c r="I9" i="11"/>
  <c r="C4" i="13"/>
  <c r="H113" i="13"/>
  <c r="G113" i="13"/>
  <c r="H111" i="13"/>
  <c r="G111" i="13"/>
  <c r="H110" i="13"/>
  <c r="G110" i="13"/>
  <c r="H109" i="13"/>
  <c r="G109" i="13"/>
  <c r="H108" i="13"/>
  <c r="G108" i="13"/>
  <c r="H107" i="13"/>
  <c r="G107" i="13"/>
  <c r="H106" i="13"/>
  <c r="G106" i="13"/>
  <c r="H105" i="13"/>
  <c r="G105" i="13"/>
  <c r="H104" i="13"/>
  <c r="G104" i="13"/>
  <c r="H103" i="13"/>
  <c r="G103" i="13"/>
  <c r="H102" i="13"/>
  <c r="G102" i="13"/>
  <c r="H101" i="13"/>
  <c r="G101" i="13"/>
  <c r="H99" i="13"/>
  <c r="G99" i="13"/>
  <c r="H98" i="13"/>
  <c r="G98" i="13"/>
  <c r="H97" i="13"/>
  <c r="G97" i="13"/>
  <c r="H95" i="13"/>
  <c r="G95" i="13"/>
  <c r="H94" i="13"/>
  <c r="G94" i="13"/>
  <c r="H93" i="13"/>
  <c r="G93" i="13"/>
  <c r="H92" i="13"/>
  <c r="G92" i="13"/>
  <c r="H91" i="13"/>
  <c r="G91" i="13"/>
  <c r="H90" i="13"/>
  <c r="G90" i="13"/>
  <c r="H89" i="13"/>
  <c r="G89" i="13"/>
  <c r="H88" i="13"/>
  <c r="G88" i="13"/>
  <c r="H87" i="13"/>
  <c r="G87" i="13"/>
  <c r="H86" i="13"/>
  <c r="G86" i="13"/>
  <c r="H85" i="13"/>
  <c r="G85" i="13"/>
  <c r="H84" i="13"/>
  <c r="G84" i="13"/>
  <c r="H83" i="13"/>
  <c r="G83" i="13"/>
  <c r="H82" i="13"/>
  <c r="G82" i="13"/>
  <c r="H81" i="13"/>
  <c r="G81" i="13"/>
  <c r="H80" i="13"/>
  <c r="G80" i="13"/>
  <c r="H79" i="13"/>
  <c r="G79" i="13"/>
  <c r="H78" i="13"/>
  <c r="G78" i="13"/>
  <c r="H77" i="13"/>
  <c r="G77" i="13"/>
  <c r="H75" i="13"/>
  <c r="G75" i="13"/>
  <c r="H74" i="13"/>
  <c r="G74" i="13"/>
  <c r="H73" i="13"/>
  <c r="G73" i="13"/>
  <c r="H72" i="13"/>
  <c r="G72" i="13"/>
  <c r="H71" i="13"/>
  <c r="G71" i="13"/>
  <c r="H70" i="13"/>
  <c r="G70" i="13"/>
  <c r="H69" i="13"/>
  <c r="G69" i="13"/>
  <c r="H68" i="13"/>
  <c r="G68" i="13"/>
  <c r="H67" i="13"/>
  <c r="G67" i="13"/>
  <c r="H66" i="13"/>
  <c r="G66" i="13"/>
  <c r="H65" i="13"/>
  <c r="G65" i="13"/>
  <c r="H64" i="13"/>
  <c r="G64" i="13"/>
  <c r="H63" i="13"/>
  <c r="G63" i="13"/>
  <c r="H62" i="13"/>
  <c r="G62" i="13"/>
  <c r="H61" i="13"/>
  <c r="G61" i="13"/>
  <c r="H60" i="13"/>
  <c r="G60" i="13"/>
  <c r="H59" i="13"/>
  <c r="G59" i="13"/>
  <c r="H58" i="13"/>
  <c r="G58" i="13"/>
  <c r="H57" i="13"/>
  <c r="G57" i="13"/>
  <c r="H56" i="13"/>
  <c r="G56" i="13"/>
  <c r="H55" i="13"/>
  <c r="G55" i="13"/>
  <c r="H53" i="13"/>
  <c r="G53" i="13"/>
  <c r="H52" i="13"/>
  <c r="G52" i="13"/>
  <c r="H51" i="13"/>
  <c r="G51" i="13"/>
  <c r="H50" i="13"/>
  <c r="G50" i="13"/>
  <c r="H48" i="13"/>
  <c r="G48" i="13"/>
  <c r="H47" i="13"/>
  <c r="G47" i="13"/>
  <c r="H46" i="13"/>
  <c r="G46" i="13"/>
  <c r="H44" i="13"/>
  <c r="G44" i="13"/>
  <c r="H43" i="13"/>
  <c r="G43" i="13"/>
  <c r="H42" i="13"/>
  <c r="G42" i="13"/>
  <c r="H41" i="13"/>
  <c r="G41" i="13"/>
  <c r="H40" i="13"/>
  <c r="G40" i="13"/>
  <c r="H39" i="13"/>
  <c r="G39" i="13"/>
  <c r="H38" i="13"/>
  <c r="G38" i="13"/>
  <c r="H37" i="13"/>
  <c r="G37" i="13"/>
  <c r="H36" i="13"/>
  <c r="G36" i="13"/>
  <c r="H34" i="13"/>
  <c r="G34" i="13"/>
  <c r="H33" i="13"/>
  <c r="G33" i="13"/>
  <c r="H32" i="13"/>
  <c r="G32" i="13"/>
  <c r="H31" i="13"/>
  <c r="G31" i="13"/>
  <c r="H30" i="13"/>
  <c r="G30" i="13"/>
  <c r="H29" i="13"/>
  <c r="G29" i="13"/>
  <c r="H28" i="13"/>
  <c r="G28" i="13"/>
  <c r="H26" i="13"/>
  <c r="G26" i="13"/>
  <c r="H25" i="13"/>
  <c r="G25" i="13"/>
  <c r="H24" i="13"/>
  <c r="G24" i="13"/>
  <c r="H22" i="13"/>
  <c r="G22" i="13"/>
  <c r="H21" i="13"/>
  <c r="G21" i="13"/>
  <c r="H20" i="13"/>
  <c r="G20" i="13"/>
  <c r="H18" i="13"/>
  <c r="G18" i="13"/>
  <c r="H17" i="13"/>
  <c r="G17" i="13"/>
  <c r="H16" i="13"/>
  <c r="G16" i="13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8" i="13"/>
  <c r="G8" i="13"/>
  <c r="H7" i="13"/>
  <c r="G7" i="13"/>
  <c r="C4" i="11"/>
  <c r="H8" i="11" l="1"/>
  <c r="I8" i="11"/>
  <c r="G8" i="11"/>
  <c r="F8" i="11"/>
  <c r="D4" i="11"/>
  <c r="H54" i="13"/>
  <c r="G54" i="13"/>
  <c r="H49" i="13"/>
  <c r="G49" i="13"/>
  <c r="G76" i="13"/>
  <c r="H76" i="13"/>
  <c r="G96" i="13"/>
  <c r="H96" i="13"/>
  <c r="H45" i="13"/>
  <c r="G45" i="13"/>
  <c r="G35" i="13"/>
  <c r="G27" i="13"/>
  <c r="G19" i="13"/>
  <c r="H112" i="13"/>
  <c r="H35" i="13"/>
  <c r="H23" i="13"/>
  <c r="H27" i="13"/>
  <c r="H100" i="13"/>
  <c r="G112" i="13"/>
  <c r="G23" i="13"/>
  <c r="H19" i="13"/>
  <c r="G6" i="13"/>
  <c r="G100" i="13"/>
  <c r="H6" i="13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H4" i="13" l="1"/>
  <c r="J9" i="11" s="1"/>
  <c r="J8" i="11" s="1"/>
  <c r="E45" i="13"/>
  <c r="G51" i="1" s="1"/>
  <c r="G4" i="13"/>
  <c r="E96" i="13"/>
  <c r="G55" i="1" s="1"/>
  <c r="E112" i="13"/>
  <c r="G57" i="1" s="1"/>
  <c r="F96" i="13"/>
  <c r="H55" i="1" s="1"/>
  <c r="I55" i="1" s="1"/>
  <c r="E49" i="13"/>
  <c r="G52" i="1" s="1"/>
  <c r="F49" i="13"/>
  <c r="H52" i="1" s="1"/>
  <c r="F112" i="13"/>
  <c r="H57" i="1" s="1"/>
  <c r="I57" i="1" s="1"/>
  <c r="F45" i="13"/>
  <c r="H51" i="1" s="1"/>
  <c r="E100" i="13"/>
  <c r="G56" i="1" s="1"/>
  <c r="F100" i="13"/>
  <c r="H56" i="1" s="1"/>
  <c r="I56" i="1" s="1"/>
  <c r="F76" i="13"/>
  <c r="H54" i="1" s="1"/>
  <c r="E76" i="13"/>
  <c r="G54" i="1" s="1"/>
  <c r="E35" i="13"/>
  <c r="G50" i="1" s="1"/>
  <c r="F35" i="13"/>
  <c r="H50" i="1" s="1"/>
  <c r="F27" i="13"/>
  <c r="H49" i="1" s="1"/>
  <c r="F23" i="13"/>
  <c r="H48" i="1" s="1"/>
  <c r="E27" i="13"/>
  <c r="G49" i="1" s="1"/>
  <c r="E6" i="13"/>
  <c r="G46" i="1" s="1"/>
  <c r="I53" i="1"/>
  <c r="I54" i="1" l="1"/>
  <c r="F6" i="13"/>
  <c r="H46" i="1" s="1"/>
  <c r="I46" i="1" s="1"/>
  <c r="F19" i="13"/>
  <c r="H47" i="1" s="1"/>
  <c r="E19" i="13"/>
  <c r="G47" i="1" s="1"/>
  <c r="E23" i="13"/>
  <c r="G48" i="1" s="1"/>
  <c r="I52" i="1"/>
  <c r="G96" i="1"/>
  <c r="I47" i="1" l="1"/>
  <c r="C96" i="1"/>
  <c r="E8" i="11"/>
  <c r="I48" i="1"/>
  <c r="F4" i="13"/>
  <c r="G97" i="1" s="1"/>
  <c r="E4" i="13"/>
  <c r="C97" i="1" s="1"/>
  <c r="I50" i="1" l="1"/>
  <c r="I49" i="1"/>
  <c r="P106" i="1"/>
  <c r="Q106" i="1" s="1"/>
  <c r="P101" i="1"/>
  <c r="Q101" i="1" s="1"/>
  <c r="K96" i="1"/>
  <c r="I51" i="1"/>
  <c r="K97" i="1" l="1"/>
  <c r="C8" i="11" l="1"/>
  <c r="D8" i="11"/>
</calcChain>
</file>

<file path=xl/sharedStrings.xml><?xml version="1.0" encoding="utf-8"?>
<sst xmlns="http://schemas.openxmlformats.org/spreadsheetml/2006/main" count="249" uniqueCount="199">
  <si>
    <t>CONCEPTO</t>
  </si>
  <si>
    <t>REAL</t>
  </si>
  <si>
    <t>PROGRAMADO VS REAL</t>
  </si>
  <si>
    <t>PROGRAM.</t>
  </si>
  <si>
    <t>VARIACION</t>
  </si>
  <si>
    <t>ACTIVIDADES</t>
  </si>
  <si>
    <t>REPORTE DE ESTATUS SEMANAL</t>
  </si>
  <si>
    <t>PROYECTO:</t>
  </si>
  <si>
    <t>UBICACIÓN:</t>
  </si>
  <si>
    <t>FECHA DEL PERIODO:</t>
  </si>
  <si>
    <t>GERENCIA DE PROYECTO</t>
  </si>
  <si>
    <t>HERMOSILLO, SONORA</t>
  </si>
  <si>
    <t>METTA GROUP</t>
  </si>
  <si>
    <t>PROGRAMA MAESTRO</t>
  </si>
  <si>
    <t>ESTATUS</t>
  </si>
  <si>
    <t>FECHA LÍMITE</t>
  </si>
  <si>
    <t>RESPONSABLE</t>
  </si>
  <si>
    <t>PROBLEMAS QUE PUEDEN VOLVERSE CRÍTICOS</t>
  </si>
  <si>
    <t>REPORTE FOTOGRÁFICO</t>
  </si>
  <si>
    <t>SEMANA No.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</si>
  <si>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</si>
  <si>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</si>
  <si>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</si>
  <si>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</si>
  <si>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</si>
  <si>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</si>
  <si>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</si>
  <si>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</si>
  <si>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</si>
  <si>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AVANCE PROGRAMADO</t>
  </si>
  <si>
    <t>ABASTECIMIENTOS</t>
  </si>
  <si>
    <t xml:space="preserve">ESTATUS </t>
  </si>
  <si>
    <t>IMPORTANCIA</t>
  </si>
  <si>
    <t>AVANCE PROG.</t>
  </si>
  <si>
    <t>POR EJECUTAR</t>
  </si>
  <si>
    <t>REAL EJECUTADO</t>
  </si>
  <si>
    <t>PROGRAMADOS PARA SIGUIENTES SEMANAS</t>
  </si>
  <si>
    <t>AVANCE  FÍSICO REAL</t>
  </si>
  <si>
    <t>% PROGRAMADO</t>
  </si>
  <si>
    <t>% REAL</t>
  </si>
  <si>
    <t>$ PROGRAMADO</t>
  </si>
  <si>
    <t>$ REAL</t>
  </si>
  <si>
    <t>SEMANAL PROGRAMADO</t>
  </si>
  <si>
    <t>SEMANAL REAL</t>
  </si>
  <si>
    <t>ACUMULADO REAL</t>
  </si>
  <si>
    <t>INICIO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</si>
  <si>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</si>
  <si>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</si>
  <si>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</si>
  <si>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</si>
  <si>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</si>
  <si>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</si>
  <si>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</si>
  <si>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</si>
  <si>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</si>
  <si>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Solicitado</t>
  </si>
  <si>
    <t>Alta</t>
  </si>
  <si>
    <t>Suministrado</t>
  </si>
  <si>
    <t>Medio</t>
  </si>
  <si>
    <t>FECHA REQUERIDA</t>
  </si>
  <si>
    <t>Media</t>
  </si>
  <si>
    <t>--</t>
  </si>
  <si>
    <t>AVANCE PROGRAMADO SEMANA - 09</t>
  </si>
  <si>
    <t>AVANCE FÍSICO - FINANCIERO SEMANA - 09</t>
  </si>
  <si>
    <t>CASETA PASADENA</t>
  </si>
  <si>
    <t>CIMENTACION</t>
  </si>
  <si>
    <t>Trazo y nivelación</t>
  </si>
  <si>
    <t>Excavación por medios manuales de terreno tipo II</t>
  </si>
  <si>
    <t>Plantilla de concreto simple fc=100 kg/cm2, e=5 cm</t>
  </si>
  <si>
    <t>Cimentación de concreto ciclopeo fc=200 kg/cm2</t>
  </si>
  <si>
    <t>Zapata ZA-4, 1.00x1.00x0.25 m, f'c=250 kg/cm2</t>
  </si>
  <si>
    <t>Dado D-1, 0.40x0.40x0.50 m, f'c=250 kg/cm2</t>
  </si>
  <si>
    <t>Anclas AN-1, redondo 3/4 roscado con placa 35x35 cm</t>
  </si>
  <si>
    <t>Dentellón DE-1, 20x30 cm, f'c=250 kg/cm2</t>
  </si>
  <si>
    <t>Relleno compactado al 95% PVSM, capas de 20 cm</t>
  </si>
  <si>
    <t>Carga y acarreo de material sobrante a tiro</t>
  </si>
  <si>
    <t xml:space="preserve">Preparacion de Losa de cimentación </t>
  </si>
  <si>
    <t>Colado de Losa de cimentación</t>
  </si>
  <si>
    <t>ALBAÑILERIA</t>
  </si>
  <si>
    <t>Muro de block hueco 15x20x40 cm, mortero 1:3</t>
  </si>
  <si>
    <t>Muro de tablaroca estándar 1/2 a dos caras</t>
  </si>
  <si>
    <t>Cadena de desplante/cerramiento 14x20 cm</t>
  </si>
  <si>
    <t>PLAFONES</t>
  </si>
  <si>
    <t xml:space="preserve">Cubierta tablacemento Durock 1/2 con triplay 1/2 </t>
  </si>
  <si>
    <t>Impermeabilizante APP poliéster gravilla 4.5 mm</t>
  </si>
  <si>
    <t>Plafón de tablaroca yeso 1/2 sobre bastidor de aluminio</t>
  </si>
  <si>
    <t>ACABADOS</t>
  </si>
  <si>
    <t>Recubrimiento de muro con piedra, acabado plaqueado</t>
  </si>
  <si>
    <t>Zarpeo y afine fino, mortero cemento-arena 1:4</t>
  </si>
  <si>
    <t>Enjarre grueso interior, e=1.5-2.0 cm, mortero 1:3</t>
  </si>
  <si>
    <t>Pintura vinílica interior a dos manos</t>
  </si>
  <si>
    <t>Loseta cerámica Metallic Gold 60x360 cm en piso</t>
  </si>
  <si>
    <t>Zóclo cerámica Metallic Gold 10x60 cm</t>
  </si>
  <si>
    <t>Resaltes de concreto fc=200 kg/cm2, e=10 cm, 30x30 cm</t>
  </si>
  <si>
    <t>ESTRUCTURA TECHUMBRE</t>
  </si>
  <si>
    <t>Anclas de redondo liso 3/4, L=0.75 m, roscas y tuercas</t>
  </si>
  <si>
    <t>Placa base para columnas 5/8 8 cartabones</t>
  </si>
  <si>
    <t>Columna metálica CM-2, PTR 6x6x3/16</t>
  </si>
  <si>
    <t>Placa superior de columnas 3/8 A-36, 0.10x0.10 m</t>
  </si>
  <si>
    <t>Largueros de polín doble 12, 2x12MT-14</t>
  </si>
  <si>
    <t>Largueros de polín sencillo 12, 1x12MT-14</t>
  </si>
  <si>
    <t>Largueros de polín sencillo 6, 1x6MT-14</t>
  </si>
  <si>
    <t>Ángulos de conexión polín-polín 2x2x1/4 A-36</t>
  </si>
  <si>
    <t>Solera vista p/polín perimetral, 2x1/4</t>
  </si>
  <si>
    <t>HERRERIAS</t>
  </si>
  <si>
    <t>Portón herrería-01, 7.00x2.50 m, PTR 4x2 cal.14</t>
  </si>
  <si>
    <t>Portón herrería-02, 1.25x2.45 m, PTR 3x2, tablero pino</t>
  </si>
  <si>
    <t>Fijo herrería-06, 1.50x2.50 m, PTR 4x2</t>
  </si>
  <si>
    <t>CARPINTERIA Y CANCELERIA</t>
  </si>
  <si>
    <t>Puerta 0.90x2.20 m, marco pino 3x2, color blanco</t>
  </si>
  <si>
    <t xml:space="preserve">Puerta 0.80x2.20 m, marco metálico, multipanel </t>
  </si>
  <si>
    <t>Ventana V1, cancel fijo 0.60x0.60 m, doble vidrio arenado</t>
  </si>
  <si>
    <t>Ventana V2, cancel fijo 1.50x2.50 m, doble vidrio 6+6 mm</t>
  </si>
  <si>
    <t>INSTALACIONES HIDRÁULICAS</t>
  </si>
  <si>
    <t>Salida hidráulica agua fría, CPVC 1/2</t>
  </si>
  <si>
    <t>Tubería CPVC 1/2 de alimentación</t>
  </si>
  <si>
    <t>Válvula de control multifunción bronce 1/2</t>
  </si>
  <si>
    <t>Codo 90° x 1/2 fierro galvanizado</t>
  </si>
  <si>
    <t>Conexiones para medidor de flujo 1/2</t>
  </si>
  <si>
    <t>Válvula check de columpio 1/2</t>
  </si>
  <si>
    <t>Tee fierro galvanizado 1/2</t>
  </si>
  <si>
    <t>Llave de jardín 1/2</t>
  </si>
  <si>
    <t>Niple fierro galvanizado 1/2, L=70 cm</t>
  </si>
  <si>
    <t>Salida sanitaria en muro para lavabo, PVC 2</t>
  </si>
  <si>
    <t>Salida sanitaria en piso para coladera, PVC 2</t>
  </si>
  <si>
    <t>Tubería PVC sanitario 4</t>
  </si>
  <si>
    <t>Sanitario WC Drakar mod. TTI, Helvex</t>
  </si>
  <si>
    <t>Lavabo LV Marcus, Helvex</t>
  </si>
  <si>
    <t>Llave mezcladora para lavabo Glacier Bay</t>
  </si>
  <si>
    <t>Espejo de baño 45x65 cm, marco aluminio</t>
  </si>
  <si>
    <t>Excavación manual terreno tipo II (cepa sanitaria)</t>
  </si>
  <si>
    <t>Plantilla de arena e=10 cm, compactada</t>
  </si>
  <si>
    <t>Relleno compactado al 95% PVSM (cepa sanitaria)</t>
  </si>
  <si>
    <t>Prueba de hermeticidad a 1 kg/cm², 12 horas</t>
  </si>
  <si>
    <t>Juego de accesorios de baño Lostrain, 6 piezas</t>
  </si>
  <si>
    <t xml:space="preserve">INSTALACIONES ELECTRICAS </t>
  </si>
  <si>
    <t>Registro eléctrico para plumas de acceso, block 60x40 cm</t>
  </si>
  <si>
    <t>Excavación mecánica para tubería PVC eléctrico, 0.40 m</t>
  </si>
  <si>
    <t>Cama de arena e=10 cm para protección tubería</t>
  </si>
  <si>
    <t>Tubería PVC eléctrico 1/2</t>
  </si>
  <si>
    <t>Relleno compactado con cinta de precaución</t>
  </si>
  <si>
    <t>Salida eléctrica en piso, PVC 3/4 pared delgada</t>
  </si>
  <si>
    <t>Salida eléctrica en muro, PVC 3/4 pared delgada</t>
  </si>
  <si>
    <t xml:space="preserve">Salida eléctrica para lámparas de centro, </t>
  </si>
  <si>
    <t>Luminaria LED 7W empotrada en plafón, Tecno Lite</t>
  </si>
  <si>
    <t>Proyector exterior LED PAR38 15W/6500K</t>
  </si>
  <si>
    <t>Salida de red/internet</t>
  </si>
  <si>
    <t>Salida de TV, conector coaxial</t>
  </si>
  <si>
    <t>Salida de teléfono</t>
  </si>
  <si>
    <t>Apagador de tres vías</t>
  </si>
  <si>
    <t>Apagador sencillo</t>
  </si>
  <si>
    <t>Contacto monofásico dúplex polarizado</t>
  </si>
  <si>
    <t>Centro de carga Square-D QO120/125G, 20 unidades</t>
  </si>
  <si>
    <t>Interruptor termomagnético SQD 1 polo, 15A</t>
  </si>
  <si>
    <t>Interruptor termomagnético SQD 2 polos, 20A</t>
  </si>
  <si>
    <t>SISTEMA DE AIRES ACONDICIONADOS</t>
  </si>
  <si>
    <t>Salida eléctrica en muro para mini split</t>
  </si>
  <si>
    <t>Paso de mangueras ventana-compresor mini split, PVC 3</t>
  </si>
  <si>
    <t>Mini split inverter Midea 1.50 ton</t>
  </si>
  <si>
    <t>CONTROL DE ACCESO</t>
  </si>
  <si>
    <t>Barrera vehicular uso rudo,</t>
  </si>
  <si>
    <t xml:space="preserve">Radar de detección vehicular ZKTECO VR10 </t>
  </si>
  <si>
    <t xml:space="preserve">Controlador de acceso 2 puertas, biometría </t>
  </si>
  <si>
    <t>Lectora UHF vehicular 902-928 MHz, alcance 1-10 m</t>
  </si>
  <si>
    <t>Poste seccionado 3 m con base de cimentación</t>
  </si>
  <si>
    <t>Kit kiosco: lector QR Kolonus, cámara bala IP 2MP</t>
  </si>
  <si>
    <t>Kit videoportero IP, monitor 7 touch, cámara 2MP</t>
  </si>
  <si>
    <t>Acceso peatonal: videoportero IP</t>
  </si>
  <si>
    <t>Bobina cable UTP Cat6 exterior, 305 m</t>
  </si>
  <si>
    <t>Kit CCTV IP 8 canales,</t>
  </si>
  <si>
    <t>Instalación y configuración de equipos</t>
  </si>
  <si>
    <t>LETRERO</t>
  </si>
  <si>
    <t xml:space="preserve">Fabricación de letrero 2 x 1 </t>
  </si>
  <si>
    <t>ACUMULADO PROGRAMADO</t>
  </si>
  <si>
    <t>08</t>
  </si>
  <si>
    <t>SEMANA 08 - DEL 01 AL 06 DE JUNIO</t>
  </si>
  <si>
    <t>ACTIVIDADES REALIZADAS ESTA SEMANA - 08</t>
  </si>
  <si>
    <t>ACTIVIDADES PROGRAMADAS PROXIMA SEMANA - 09</t>
  </si>
  <si>
    <t>SEMANA 08</t>
  </si>
  <si>
    <t>Pago a grua de montajes estructura</t>
  </si>
  <si>
    <t>PTR 6x6x3/16"</t>
  </si>
  <si>
    <t>Polines 6"</t>
  </si>
  <si>
    <t>Cemento</t>
  </si>
  <si>
    <t>Piedra laja para muros</t>
  </si>
  <si>
    <t>Se solicitará Lunes</t>
  </si>
  <si>
    <t>Se solicitará Miercoles</t>
  </si>
  <si>
    <t>Continuación de Muro de Block hasta altura de cubierta</t>
  </si>
  <si>
    <t>Continuación de colado de castillos</t>
  </si>
  <si>
    <t>Block dala (cerramiento)</t>
  </si>
  <si>
    <t xml:space="preserve">Colado de Cimentación Ciclopea </t>
  </si>
  <si>
    <t>Suministro y habilitado de PTRs</t>
  </si>
  <si>
    <t>Colocación de Muro de Block</t>
  </si>
  <si>
    <t>Colado de castillos</t>
  </si>
  <si>
    <t>Inicio de Cimentación Ciclopea</t>
  </si>
  <si>
    <t>Habilitado y maniobra para instalación de Polines 12"</t>
  </si>
  <si>
    <t>Apegarse al programa de obra y de suministros</t>
  </si>
  <si>
    <t>En proceso</t>
  </si>
  <si>
    <t>Todos</t>
  </si>
  <si>
    <t>Varilla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</si>
</sst>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5" formatCode="&quot;$&quot;#,##0.00_);[Red]\(&quot;$&quot;#,##0.00\)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</fills>
  <borders count="4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1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9" fontId="0" fillId="2" borderId="0" xfId="2" applyFont="1" applyFill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20" xfId="0" applyFill="1" applyBorder="1"/>
    <xf numFmtId="0" fontId="0" fillId="2" borderId="22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8" fillId="2" borderId="0" xfId="0" applyFont="1" applyFill="1"/>
    <xf numFmtId="0" fontId="18" fillId="2" borderId="0" xfId="0" applyFont="1" applyFill="1" applyAlignment="1">
      <alignment horizontal="center" vertical="center"/>
    </xf>
    <xf numFmtId="44" fontId="10" fillId="2" borderId="0" xfId="1" applyFont="1" applyFill="1"/>
    <xf numFmtId="10" fontId="10" fillId="2" borderId="0" xfId="0" applyNumberFormat="1" applyFont="1" applyFill="1"/>
    <xf numFmtId="10" fontId="10" fillId="2" borderId="0" xfId="2" applyNumberFormat="1" applyFont="1" applyFill="1"/>
    <xf numFmtId="164" fontId="10" fillId="2" borderId="0" xfId="1" applyNumberFormat="1" applyFont="1" applyFill="1"/>
    <xf numFmtId="44" fontId="3" fillId="2" borderId="0" xfId="1" applyFont="1" applyFill="1"/>
    <xf numFmtId="8" fontId="0" fillId="0" borderId="0" xfId="0" applyNumberFormat="1"/>
    <xf numFmtId="0" fontId="4" fillId="0" borderId="0" xfId="0" applyFont="1" applyAlignment="1">
      <alignment horizontal="center"/>
    </xf>
    <xf numFmtId="10" fontId="0" fillId="2" borderId="1" xfId="2" applyNumberFormat="1" applyFont="1" applyFill="1" applyBorder="1" applyAlignment="1">
      <alignment horizontal="center" vertical="center"/>
    </xf>
    <xf numFmtId="10" fontId="19" fillId="2" borderId="1" xfId="2" applyNumberFormat="1" applyFont="1" applyFill="1" applyBorder="1" applyAlignment="1">
      <alignment horizontal="center" vertical="center"/>
    </xf>
    <xf numFmtId="8" fontId="4" fillId="0" borderId="0" xfId="0" applyNumberFormat="1" applyFont="1"/>
    <xf numFmtId="8" fontId="0" fillId="2" borderId="0" xfId="0" applyNumberFormat="1" applyFill="1"/>
    <xf numFmtId="0" fontId="0" fillId="2" borderId="0" xfId="0" applyFill="1" applyAlignment="1">
      <alignment horizont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9" fontId="4" fillId="2" borderId="1" xfId="2" quotePrefix="1" applyFont="1" applyFill="1" applyBorder="1" applyAlignment="1">
      <alignment horizontal="center" vertical="center" wrapText="1"/>
    </xf>
    <xf numFmtId="9" fontId="0" fillId="2" borderId="0" xfId="2" applyFont="1" applyFill="1" applyAlignment="1">
      <alignment horizontal="center" wrapText="1"/>
    </xf>
    <xf numFmtId="8" fontId="2" fillId="5" borderId="0" xfId="0" applyNumberFormat="1" applyFont="1" applyFill="1"/>
    <xf numFmtId="10" fontId="2" fillId="5" borderId="0" xfId="2" applyNumberFormat="1" applyFont="1" applyFill="1" applyAlignment="1">
      <alignment horizontal="center" wrapText="1"/>
    </xf>
    <xf numFmtId="10" fontId="4" fillId="6" borderId="0" xfId="2" applyNumberFormat="1" applyFont="1" applyFill="1" applyAlignment="1">
      <alignment horizontal="center" wrapText="1"/>
    </xf>
    <xf numFmtId="165" fontId="4" fillId="6" borderId="0" xfId="0" applyNumberFormat="1" applyFont="1" applyFill="1" applyAlignment="1">
      <alignment horizontal="center" wrapText="1"/>
    </xf>
    <xf numFmtId="165" fontId="0" fillId="2" borderId="0" xfId="0" applyNumberFormat="1" applyFill="1" applyAlignment="1">
      <alignment horizontal="center" wrapText="1"/>
    </xf>
    <xf numFmtId="0" fontId="2" fillId="5" borderId="0" xfId="0" applyFont="1" applyFill="1"/>
    <xf numFmtId="8" fontId="0" fillId="0" borderId="0" xfId="1" applyNumberFormat="1" applyFont="1"/>
    <xf numFmtId="10" fontId="15" fillId="2" borderId="1" xfId="2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22" xfId="0" applyFont="1" applyFill="1" applyBorder="1" applyAlignment="1">
      <alignment vertical="center"/>
    </xf>
    <xf numFmtId="0" fontId="20" fillId="2" borderId="12" xfId="0" applyFont="1" applyFill="1" applyBorder="1" applyAlignment="1">
      <alignment vertical="center"/>
    </xf>
    <xf numFmtId="0" fontId="20" fillId="2" borderId="13" xfId="0" applyFont="1" applyFill="1" applyBorder="1" applyAlignment="1">
      <alignment vertical="center"/>
    </xf>
    <xf numFmtId="0" fontId="20" fillId="2" borderId="14" xfId="0" applyFont="1" applyFill="1" applyBorder="1" applyAlignment="1">
      <alignment vertical="center"/>
    </xf>
    <xf numFmtId="8" fontId="21" fillId="2" borderId="0" xfId="1" applyNumberFormat="1" applyFont="1" applyFill="1"/>
    <xf numFmtId="0" fontId="21" fillId="2" borderId="0" xfId="0" applyFont="1" applyFill="1"/>
    <xf numFmtId="10" fontId="21" fillId="2" borderId="0" xfId="0" applyNumberFormat="1" applyFont="1" applyFill="1"/>
    <xf numFmtId="10" fontId="21" fillId="2" borderId="0" xfId="2" applyNumberFormat="1" applyFont="1" applyFill="1"/>
    <xf numFmtId="10" fontId="10" fillId="2" borderId="1" xfId="2" applyNumberFormat="1" applyFont="1" applyFill="1" applyBorder="1" applyAlignment="1">
      <alignment horizontal="center" vertical="center"/>
    </xf>
    <xf numFmtId="0" fontId="4" fillId="0" borderId="0" xfId="0" applyFont="1"/>
    <xf numFmtId="0" fontId="4" fillId="2" borderId="0" xfId="0" applyFont="1" applyFill="1"/>
    <xf numFmtId="10" fontId="4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left" vertical="center"/>
    </xf>
    <xf numFmtId="0" fontId="4" fillId="0" borderId="0" xfId="0" applyFont="1" applyAlignment="1">
      <alignment wrapText="1"/>
    </xf>
    <xf numFmtId="0" fontId="4" fillId="7" borderId="0" xfId="0" applyFont="1" applyFill="1"/>
    <xf numFmtId="8" fontId="4" fillId="7" borderId="0" xfId="0" applyNumberFormat="1" applyFont="1" applyFill="1"/>
    <xf numFmtId="8" fontId="2" fillId="5" borderId="0" xfId="0" applyNumberFormat="1" applyFont="1" applyFill="1" applyAlignment="1">
      <alignment horizontal="center"/>
    </xf>
    <xf numFmtId="10" fontId="24" fillId="6" borderId="0" xfId="2" applyNumberFormat="1" applyFont="1" applyFill="1" applyAlignment="1">
      <alignment horizontal="center" wrapText="1"/>
    </xf>
    <xf numFmtId="9" fontId="25" fillId="2" borderId="0" xfId="2" applyFont="1" applyFill="1" applyAlignment="1">
      <alignment horizontal="center" wrapText="1"/>
    </xf>
    <xf numFmtId="0" fontId="11" fillId="0" borderId="0" xfId="0" applyFont="1" applyAlignment="1">
      <alignment wrapText="1"/>
    </xf>
    <xf numFmtId="0" fontId="12" fillId="0" borderId="0" xfId="0" applyFont="1"/>
    <xf numFmtId="10" fontId="27" fillId="2" borderId="1" xfId="2" applyNumberFormat="1" applyFont="1" applyFill="1" applyBorder="1" applyAlignment="1">
      <alignment horizontal="center" vertical="center"/>
    </xf>
    <xf numFmtId="9" fontId="2" fillId="8" borderId="1" xfId="2" quotePrefix="1" applyFont="1" applyFill="1" applyBorder="1" applyAlignment="1">
      <alignment horizontal="center" vertical="center" wrapText="1"/>
    </xf>
    <xf numFmtId="0" fontId="0" fillId="2" borderId="10" xfId="0" quotePrefix="1" applyFill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16" fontId="10" fillId="2" borderId="1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0" fillId="2" borderId="32" xfId="0" quotePrefix="1" applyFill="1" applyBorder="1" applyAlignment="1">
      <alignment horizontal="left"/>
    </xf>
    <xf numFmtId="0" fontId="0" fillId="2" borderId="25" xfId="0" quotePrefix="1" applyFill="1" applyBorder="1" applyAlignment="1">
      <alignment horizontal="left"/>
    </xf>
    <xf numFmtId="0" fontId="0" fillId="2" borderId="26" xfId="0" quotePrefix="1" applyFill="1" applyBorder="1" applyAlignment="1">
      <alignment horizontal="left"/>
    </xf>
    <xf numFmtId="0" fontId="9" fillId="2" borderId="43" xfId="0" applyFont="1" applyFill="1" applyBorder="1" applyAlignment="1">
      <alignment horizontal="center"/>
    </xf>
    <xf numFmtId="16" fontId="10" fillId="2" borderId="43" xfId="0" quotePrefix="1" applyNumberFormat="1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9" fillId="2" borderId="43" xfId="0" applyFont="1" applyFill="1" applyBorder="1" applyAlignment="1">
      <alignment horizontal="center" vertical="center"/>
    </xf>
    <xf numFmtId="0" fontId="22" fillId="2" borderId="44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33" xfId="0" applyFont="1" applyFill="1" applyBorder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0" fillId="2" borderId="32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16" fontId="0" fillId="2" borderId="24" xfId="0" applyNumberForma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1" fillId="2" borderId="26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/>
    </xf>
    <xf numFmtId="0" fontId="23" fillId="2" borderId="3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4" fillId="2" borderId="16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16" fillId="2" borderId="16" xfId="0" applyFont="1" applyFill="1" applyBorder="1" applyAlignment="1">
      <alignment horizontal="left"/>
    </xf>
    <xf numFmtId="0" fontId="16" fillId="2" borderId="17" xfId="0" applyFont="1" applyFill="1" applyBorder="1" applyAlignment="1">
      <alignment horizontal="left"/>
    </xf>
    <xf numFmtId="0" fontId="4" fillId="2" borderId="24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28" xfId="0" quotePrefix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left"/>
    </xf>
    <xf numFmtId="0" fontId="20" fillId="3" borderId="20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164" fontId="11" fillId="2" borderId="2" xfId="1" applyNumberFormat="1" applyFont="1" applyFill="1" applyBorder="1" applyAlignment="1">
      <alignment horizontal="center"/>
    </xf>
    <xf numFmtId="164" fontId="11" fillId="2" borderId="3" xfId="1" applyNumberFormat="1" applyFont="1" applyFill="1" applyBorder="1" applyAlignment="1">
      <alignment horizontal="center"/>
    </xf>
    <xf numFmtId="164" fontId="11" fillId="2" borderId="4" xfId="1" applyNumberFormat="1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164" fontId="12" fillId="2" borderId="2" xfId="1" applyNumberFormat="1" applyFont="1" applyFill="1" applyBorder="1" applyAlignment="1">
      <alignment horizontal="center"/>
    </xf>
    <xf numFmtId="164" fontId="12" fillId="2" borderId="3" xfId="1" applyNumberFormat="1" applyFont="1" applyFill="1" applyBorder="1" applyAlignment="1">
      <alignment horizontal="center"/>
    </xf>
    <xf numFmtId="164" fontId="12" fillId="2" borderId="4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4" fontId="23" fillId="2" borderId="3" xfId="0" applyNumberFormat="1" applyFont="1" applyFill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10" fontId="13" fillId="2" borderId="37" xfId="2" applyNumberFormat="1" applyFont="1" applyFill="1" applyBorder="1" applyAlignment="1">
      <alignment horizontal="center"/>
    </xf>
    <xf numFmtId="10" fontId="13" fillId="2" borderId="38" xfId="2" applyNumberFormat="1" applyFont="1" applyFill="1" applyBorder="1" applyAlignment="1">
      <alignment horizontal="center"/>
    </xf>
    <xf numFmtId="10" fontId="13" fillId="2" borderId="39" xfId="2" applyNumberFormat="1" applyFont="1" applyFill="1" applyBorder="1" applyAlignment="1">
      <alignment horizontal="center"/>
    </xf>
    <xf numFmtId="10" fontId="14" fillId="2" borderId="37" xfId="2" applyNumberFormat="1" applyFont="1" applyFill="1" applyBorder="1" applyAlignment="1">
      <alignment horizontal="center"/>
    </xf>
    <xf numFmtId="10" fontId="14" fillId="2" borderId="38" xfId="2" applyNumberFormat="1" applyFont="1" applyFill="1" applyBorder="1" applyAlignment="1">
      <alignment horizontal="center"/>
    </xf>
    <xf numFmtId="10" fontId="14" fillId="2" borderId="39" xfId="2" applyNumberFormat="1" applyFont="1" applyFill="1" applyBorder="1" applyAlignment="1">
      <alignment horizontal="center"/>
    </xf>
    <xf numFmtId="0" fontId="0" fillId="2" borderId="2" xfId="0" quotePrefix="1" applyFill="1" applyBorder="1" applyAlignment="1">
      <alignment horizontal="left"/>
    </xf>
    <xf numFmtId="0" fontId="0" fillId="2" borderId="33" xfId="0" quotePrefix="1" applyFill="1" applyBorder="1" applyAlignment="1">
      <alignment horizontal="left"/>
    </xf>
    <xf numFmtId="0" fontId="0" fillId="2" borderId="42" xfId="0" quotePrefix="1" applyFill="1" applyBorder="1" applyAlignment="1">
      <alignment horizontal="left"/>
    </xf>
    <xf numFmtId="0" fontId="0" fillId="2" borderId="41" xfId="0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24" xfId="0" quotePrefix="1" applyFill="1" applyBorder="1" applyAlignment="1">
      <alignment horizontal="left"/>
    </xf>
    <xf numFmtId="0" fontId="0" fillId="2" borderId="40" xfId="0" quotePrefix="1" applyFill="1" applyBorder="1" applyAlignment="1">
      <alignment horizontal="left"/>
    </xf>
    <xf numFmtId="0" fontId="2" fillId="4" borderId="3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10" fontId="26" fillId="2" borderId="37" xfId="0" applyNumberFormat="1" applyFont="1" applyFill="1" applyBorder="1" applyAlignment="1">
      <alignment horizontal="center"/>
    </xf>
    <xf numFmtId="0" fontId="26" fillId="2" borderId="39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REPORTE!$H$44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REPORTE!$H$51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AFF-987C-0A636ADE70B7}"/>
            </c:ext>
          </c:extLst>
        </c:ser>
        <c:ser>
          <c:idx val="0"/>
          <c:order val="1"/>
          <c:tx>
            <c:strRef>
              <c:f>REPORTE!$G$44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REPORTE!$G$51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AFF-987C-0A636ADE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REPORTE!$H$44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REPORTE!$H$52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5-4A70-8D71-DD6211D9C4B4}"/>
            </c:ext>
          </c:extLst>
        </c:ser>
        <c:ser>
          <c:idx val="0"/>
          <c:order val="1"/>
          <c:tx>
            <c:strRef>
              <c:f>REPORTE!$G$44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REPORTE!$G$52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5-4A70-8D71-DD6211D9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REPORTE!$H$44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REPORTE!$H$49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3-46A2-B8CB-5073A65F3B0C}"/>
            </c:ext>
          </c:extLst>
        </c:ser>
        <c:ser>
          <c:idx val="0"/>
          <c:order val="1"/>
          <c:tx>
            <c:strRef>
              <c:f>REPORTE!$G$44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REPORTE!$G$49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3-46A2-B8CB-5073A65F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PROGRAMADO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9-41A4-96B1-6880DD3F783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6C-4F33-B486-EDF98B4BD672}"/>
              </c:ext>
            </c:extLst>
          </c:dPt>
          <c:dLbls>
            <c:dLbl>
              <c:idx val="0"/>
              <c:layout>
                <c:manualLayout>
                  <c:x val="0.11187421676558272"/>
                  <c:y val="-0.112847392724827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9-41A4-96B1-6880DD3F78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6C-4F33-B486-EDF98B4BD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REPORTE!$P$102:$Q$102</c:f>
              <c:strCache>
                <c:ptCount val="2"/>
                <c:pt idx="0">
                  <c:v>AVANCE PROG.</c:v>
                </c:pt>
                <c:pt idx="1">
                  <c:v>POR EJECUTAR</c:v>
                </c:pt>
              </c:strCache>
            </c:strRef>
          </c:cat>
          <c:val>
            <c:numRef>
              <c:f>REPORTE!$P$101:$Q$101</c:f>
              <c:numCache>
                <c:formatCode>0.00%</c:formatCode>
                <c:ptCount val="2"/>
                <c:pt idx="0">
                  <c:v>0.35489488748150338</c:v>
                </c:pt>
                <c:pt idx="1">
                  <c:v>0.64510511251849656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F33-B486-EDF98B4BD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FÍSICO</a:t>
            </a:r>
            <a:r>
              <a:rPr lang="en-US" sz="1200" baseline="0"/>
              <a:t> -</a:t>
            </a:r>
            <a:r>
              <a:rPr lang="en-US" sz="1200"/>
              <a:t>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REPORTE!$P$105</c:f>
              <c:strCache>
                <c:ptCount val="1"/>
                <c:pt idx="0">
                  <c:v>AVANCE  FÍSICO REAL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9-4CB5-8424-C3F6F28E771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9-4CB5-8424-C3F6F28E7716}"/>
              </c:ext>
            </c:extLst>
          </c:dPt>
          <c:dLbls>
            <c:dLbl>
              <c:idx val="0"/>
              <c:layout>
                <c:manualLayout>
                  <c:x val="0.12160240952780731"/>
                  <c:y val="-7.157893550287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D9-4CB5-8424-C3F6F28E77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9-4CB5-8424-C3F6F28E7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REPORTE!$P$107:$Q$107</c:f>
              <c:strCache>
                <c:ptCount val="2"/>
                <c:pt idx="0">
                  <c:v>REAL EJECUTADO</c:v>
                </c:pt>
                <c:pt idx="1">
                  <c:v>POR EJECUTAR</c:v>
                </c:pt>
              </c:strCache>
            </c:strRef>
          </c:cat>
          <c:val>
            <c:numRef>
              <c:f>REPORTE!$P$106:$Q$106</c:f>
              <c:numCache>
                <c:formatCode>0.00%</c:formatCode>
                <c:ptCount val="2"/>
                <c:pt idx="0">
                  <c:v>0.31559854406279453</c:v>
                </c:pt>
                <c:pt idx="1">
                  <c:v>0.68440145593720547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9-4CB5-8424-C3F6F28E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PROGRAMA FÍSICO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979919040978602"/>
          <c:y val="8.73600207665685E-2"/>
          <c:w val="0.87184933006810739"/>
          <c:h val="0.83039042901577076"/>
        </c:manualLayout>
      </c:layout>
      <c:lineChart>
        <c:grouping val="standard"/>
        <c:varyColors val="0"/>
        <c:ser>
          <c:idx val="1"/>
          <c:order val="0"/>
          <c:tx>
            <c:strRef>
              <c:f>'CURVA S BASE'!$A$4</c:f>
              <c:strCache>
                <c:ptCount val="1"/>
                <c:pt idx="0">
                  <c:v>ACUMULADO PROGRAMADO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1.7212347397123649E-2"/>
                  <c:y val="-7.155201303419347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AA-4DCE-9234-BDFA973699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BASE'!$B$1:$T$1</c:f>
              <c:strCache>
                <c:ptCount val="19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</c:strCache>
            </c:strRef>
          </c:cat>
          <c:val>
            <c:numRef>
              <c:f>'CURVA S BASE'!$B$4:$T$4</c:f>
              <c:numCache>
                <c:formatCode>"$"#,##0.00_);[Red]\("$"#,##0.00\)</c:formatCode>
                <c:ptCount val="19"/>
                <c:pt idx="0">
                  <c:v>0</c:v>
                </c:pt>
                <c:pt idx="1">
                  <c:v>1835.11</c:v>
                </c:pt>
                <c:pt idx="2">
                  <c:v>25592.81</c:v>
                </c:pt>
                <c:pt idx="3">
                  <c:v>179839.75</c:v>
                </c:pt>
                <c:pt idx="4">
                  <c:v>265023.89</c:v>
                </c:pt>
                <c:pt idx="5">
                  <c:v>348792.47000000003</c:v>
                </c:pt>
                <c:pt idx="6">
                  <c:v>451533.89</c:v>
                </c:pt>
                <c:pt idx="7">
                  <c:v>538550.78</c:v>
                </c:pt>
                <c:pt idx="8">
                  <c:v>629660.60000000009</c:v>
                </c:pt>
                <c:pt idx="9">
                  <c:v>660502.07000000007</c:v>
                </c:pt>
                <c:pt idx="10">
                  <c:v>699796.6100000001</c:v>
                </c:pt>
                <c:pt idx="11">
                  <c:v>790408.18000000017</c:v>
                </c:pt>
                <c:pt idx="12">
                  <c:v>888805.03000000014</c:v>
                </c:pt>
                <c:pt idx="13">
                  <c:v>983869.85000000009</c:v>
                </c:pt>
                <c:pt idx="14">
                  <c:v>1055842.8500000001</c:v>
                </c:pt>
                <c:pt idx="15">
                  <c:v>1209296.56</c:v>
                </c:pt>
                <c:pt idx="16">
                  <c:v>1523259.74</c:v>
                </c:pt>
                <c:pt idx="17">
                  <c:v>1747787</c:v>
                </c:pt>
                <c:pt idx="18">
                  <c:v>1775093.03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A-420D-9128-249A857C6131}"/>
            </c:ext>
          </c:extLst>
        </c:ser>
        <c:ser>
          <c:idx val="2"/>
          <c:order val="1"/>
          <c:tx>
            <c:strRef>
              <c:f>'CURVA S BASE'!$A$9</c:f>
              <c:strCache>
                <c:ptCount val="1"/>
                <c:pt idx="0">
                  <c:v>ACUMULADO REAL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B57-4DB2-BD11-8C3D05C0995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C9-4CA3-9530-F0F376898387}"/>
              </c:ext>
            </c:extLst>
          </c:dPt>
          <c:dLbls>
            <c:dLbl>
              <c:idx val="8"/>
              <c:layout>
                <c:manualLayout>
                  <c:x val="2.1515434246404692E-2"/>
                  <c:y val="1.59004473409317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AA-4DCE-9234-BDFA973699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BASE'!$B$1:$T$1</c:f>
              <c:strCache>
                <c:ptCount val="19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</c:strCache>
            </c:strRef>
          </c:cat>
          <c:val>
            <c:numRef>
              <c:f>'CURVA S BASE'!$B$9:$K$9</c:f>
              <c:numCache>
                <c:formatCode>"$"#,##0.00_);[Red]\("$"#,##0.00\)</c:formatCode>
                <c:ptCount val="10"/>
                <c:pt idx="0">
                  <c:v>0</c:v>
                </c:pt>
                <c:pt idx="1">
                  <c:v>1835.11</c:v>
                </c:pt>
                <c:pt idx="2">
                  <c:v>25592.81</c:v>
                </c:pt>
                <c:pt idx="3">
                  <c:v>68042.81</c:v>
                </c:pt>
                <c:pt idx="4">
                  <c:v>185425.5</c:v>
                </c:pt>
                <c:pt idx="5">
                  <c:v>287050.5</c:v>
                </c:pt>
                <c:pt idx="6">
                  <c:v>372050.5</c:v>
                </c:pt>
                <c:pt idx="7">
                  <c:v>487709.31</c:v>
                </c:pt>
                <c:pt idx="8">
                  <c:v>560216.7790000001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A-420D-9128-249A857C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726000"/>
        <c:axId val="1153724560"/>
        <c:extLst/>
      </c:lineChart>
      <c:catAx>
        <c:axId val="115372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4560"/>
        <c:crosses val="autoZero"/>
        <c:auto val="1"/>
        <c:lblAlgn val="ctr"/>
        <c:lblOffset val="100"/>
        <c:noMultiLvlLbl val="0"/>
      </c:catAx>
      <c:valAx>
        <c:axId val="11537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572363068943471"/>
          <c:y val="0.17779350201718666"/>
          <c:w val="0.25394085390184373"/>
          <c:h val="0.147742282544689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REPORTE!$H$44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REPORTE!$H$53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0-48CA-9986-4A1EDD6AD932}"/>
            </c:ext>
          </c:extLst>
        </c:ser>
        <c:ser>
          <c:idx val="0"/>
          <c:order val="1"/>
          <c:tx>
            <c:strRef>
              <c:f>REPORTE!$G$44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REPORTE!$G$53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0-48CA-9986-4A1EDD6A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REPORTE!$H$44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REPORTE!$H$50</c:f>
              <c:numCache>
                <c:formatCode>0.00%</c:formatCode>
                <c:ptCount val="1"/>
                <c:pt idx="0">
                  <c:v>0.79297249946237625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ACC-8666-378CA71F5FFA}"/>
            </c:ext>
          </c:extLst>
        </c:ser>
        <c:ser>
          <c:idx val="0"/>
          <c:order val="1"/>
          <c:tx>
            <c:strRef>
              <c:f>REPORTE!$G$44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REPORTE!$G$50</c:f>
              <c:numCache>
                <c:formatCode>0.00%</c:formatCode>
                <c:ptCount val="1"/>
                <c:pt idx="0">
                  <c:v>0.83618669376483223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D-4ACC-8666-378CA71F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REPORTE!$H$44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REPORTE!$H$48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91D-93EC-4FF98BDD0BCC}"/>
            </c:ext>
          </c:extLst>
        </c:ser>
        <c:ser>
          <c:idx val="0"/>
          <c:order val="1"/>
          <c:tx>
            <c:strRef>
              <c:f>REPORTE!$G$44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REPORTE!$G$48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7-491D-93EC-4FF98BDD0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REPORTE!$H$44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REPORTE!$H$47</c:f>
              <c:numCache>
                <c:formatCode>0.00%</c:formatCode>
                <c:ptCount val="1"/>
                <c:pt idx="0">
                  <c:v>0.66180273319999328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0-4002-B56B-3FE64253CFC0}"/>
            </c:ext>
          </c:extLst>
        </c:ser>
        <c:ser>
          <c:idx val="0"/>
          <c:order val="1"/>
          <c:tx>
            <c:strRef>
              <c:f>REPORTE!$G$44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REPORTE!$G$47</c:f>
              <c:numCache>
                <c:formatCode>0.00%</c:formatCode>
                <c:ptCount val="1"/>
                <c:pt idx="0">
                  <c:v>0.89989874972740169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0-4002-B56B-3FE64253C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REPORTE!$H$44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REPORTE!$H$46</c:f>
              <c:numCache>
                <c:formatCode>0.00%</c:formatCode>
                <c:ptCount val="1"/>
                <c:pt idx="0">
                  <c:v>0.95038868914017516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F-4B8A-A70F-E1FE7ABF95C2}"/>
            </c:ext>
          </c:extLst>
        </c:ser>
        <c:ser>
          <c:idx val="0"/>
          <c:order val="1"/>
          <c:tx>
            <c:strRef>
              <c:f>REPORTE!$G$44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REPORTE!$G$46</c:f>
              <c:numCache>
                <c:formatCode>0.00%</c:formatCode>
                <c:ptCount val="1"/>
                <c:pt idx="0">
                  <c:v>1.0000000000000002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BF-4B8A-A70F-E1FE7ABF9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REPORTE!$H$44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REPORTE!$H$54</c:f>
              <c:numCache>
                <c:formatCode>0.00%</c:formatCode>
                <c:ptCount val="1"/>
                <c:pt idx="0">
                  <c:v>0.65722008841031165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B-4D4A-95AB-EA29603A687C}"/>
            </c:ext>
          </c:extLst>
        </c:ser>
        <c:ser>
          <c:idx val="0"/>
          <c:order val="1"/>
          <c:tx>
            <c:strRef>
              <c:f>REPORTE!$G$44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REPORTE!$G$54</c:f>
              <c:numCache>
                <c:formatCode>0.00%</c:formatCode>
                <c:ptCount val="1"/>
                <c:pt idx="0">
                  <c:v>0.76144990996213091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CB-4D4A-95AB-EA29603A6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REPORTE!$H$44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REPORTE!$H$55</c:f>
              <c:numCache>
                <c:formatCode>0.00%</c:formatCode>
                <c:ptCount val="1"/>
                <c:pt idx="0">
                  <c:v>1.13173077187007E-2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9-4963-B246-55990778C2CA}"/>
            </c:ext>
          </c:extLst>
        </c:ser>
        <c:ser>
          <c:idx val="0"/>
          <c:order val="1"/>
          <c:tx>
            <c:strRef>
              <c:f>REPORTE!$G$44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REPORTE!$G$55</c:f>
              <c:numCache>
                <c:formatCode>0.00%</c:formatCode>
                <c:ptCount val="1"/>
                <c:pt idx="0">
                  <c:v>4.6028247096610513E-2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09-4963-B246-55990778C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REPORTE!$H$44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REPORTE!$H$56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F-4A40-9B45-E8ED5356A743}"/>
            </c:ext>
          </c:extLst>
        </c:ser>
        <c:ser>
          <c:idx val="0"/>
          <c:order val="1"/>
          <c:tx>
            <c:strRef>
              <c:f>REPORTE!$G$44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REPORTE!$G$56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3F-4A40-9B45-E8ED5356A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REPORTE!$H$44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REPORTE!$H$57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5-4013-A5B0-33A17B860C16}"/>
            </c:ext>
          </c:extLst>
        </c:ser>
        <c:ser>
          <c:idx val="0"/>
          <c:order val="1"/>
          <c:tx>
            <c:strRef>
              <c:f>REPORTE!$G$44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REPORTE!$G$57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45-4013-A5B0-33A17B860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openxmlformats.org/officeDocument/2006/relationships/image" Target="../media/image2.png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19706</xdr:colOff>
      <xdr:row>50</xdr:row>
      <xdr:rowOff>39414</xdr:rowOff>
    </xdr:from>
    <xdr:to>
      <xdr:col>12</xdr:col>
      <xdr:colOff>722586</xdr:colOff>
      <xdr:row>50</xdr:row>
      <xdr:rowOff>302172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2E9D7BA-6866-41CC-9245-353A344F2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19706</xdr:colOff>
      <xdr:row>51</xdr:row>
      <xdr:rowOff>39414</xdr:rowOff>
    </xdr:from>
    <xdr:to>
      <xdr:col>12</xdr:col>
      <xdr:colOff>722586</xdr:colOff>
      <xdr:row>51</xdr:row>
      <xdr:rowOff>302172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792FBC0-1CBE-46D0-8502-8564C8011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19706</xdr:colOff>
      <xdr:row>48</xdr:row>
      <xdr:rowOff>39414</xdr:rowOff>
    </xdr:from>
    <xdr:to>
      <xdr:col>12</xdr:col>
      <xdr:colOff>722586</xdr:colOff>
      <xdr:row>48</xdr:row>
      <xdr:rowOff>302172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A3EDEB6-5191-4330-896D-861777402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135216</xdr:colOff>
      <xdr:row>97</xdr:row>
      <xdr:rowOff>121469</xdr:rowOff>
    </xdr:from>
    <xdr:to>
      <xdr:col>6</xdr:col>
      <xdr:colOff>460184</xdr:colOff>
      <xdr:row>108</xdr:row>
      <xdr:rowOff>180975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49AE2B3-0CAC-3E4B-B2A8-8E864E67A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74485</xdr:colOff>
      <xdr:row>97</xdr:row>
      <xdr:rowOff>49935</xdr:rowOff>
    </xdr:from>
    <xdr:to>
      <xdr:col>10</xdr:col>
      <xdr:colOff>399453</xdr:colOff>
      <xdr:row>108</xdr:row>
      <xdr:rowOff>66674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1013979-0A48-4983-89C3-DD9C1854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82825</xdr:colOff>
      <xdr:row>68</xdr:row>
      <xdr:rowOff>77856</xdr:rowOff>
    </xdr:from>
    <xdr:to>
      <xdr:col>12</xdr:col>
      <xdr:colOff>554934</xdr:colOff>
      <xdr:row>93</xdr:row>
      <xdr:rowOff>107674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E7251E4D-A534-C536-E752-9905BADDE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707364</xdr:colOff>
      <xdr:row>70</xdr:row>
      <xdr:rowOff>89212</xdr:rowOff>
    </xdr:from>
    <xdr:to>
      <xdr:col>6</xdr:col>
      <xdr:colOff>707364</xdr:colOff>
      <xdr:row>91</xdr:row>
      <xdr:rowOff>89246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6F1E860-A932-44D0-B3F0-0A3F3A9E75E0}"/>
            </a:ext>
          </a:extLst>
        </xdr:cNvPr>
        <xdr:cNvCxnSpPr/>
      </xdr:nvCxnSpPr>
      <xdr:spPr>
        <a:xfrm flipV="1">
          <a:off x="4793589" y="16072162"/>
          <a:ext cx="0" cy="4000534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19706</xdr:colOff>
      <xdr:row>52</xdr:row>
      <xdr:rowOff>39414</xdr:rowOff>
    </xdr:from>
    <xdr:to>
      <xdr:col>12</xdr:col>
      <xdr:colOff>722586</xdr:colOff>
      <xdr:row>52</xdr:row>
      <xdr:rowOff>302172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50E5BC6-007F-49B4-84A6-FF3F60F77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122467</xdr:colOff>
      <xdr:row>4</xdr:row>
      <xdr:rowOff>54429</xdr:rowOff>
    </xdr:from>
    <xdr:to>
      <xdr:col>3</xdr:col>
      <xdr:colOff>668347</xdr:colOff>
      <xdr:row>7</xdr:row>
      <xdr:rowOff>176893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ECF02BE-929B-5FF3-DADA-C5A9BD2648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972" b="24752"/>
        <a:stretch>
          <a:fillRect/>
        </a:stretch>
      </xdr:blipFill>
      <xdr:spPr>
        <a:xfrm>
          <a:off x="435431" y="830036"/>
          <a:ext cx="2069880" cy="707571"/>
        </a:xfrm>
        <a:prstGeom prst="rect">
          <a:avLst/>
        </a:prstGeom>
      </xdr:spPr>
    </xdr:pic>
    <xdr:clientData/>
  </xdr:twoCellAnchor>
  <xdr:oneCellAnchor>
    <xdr:from>
      <xdr:col>1</xdr:col>
      <xdr:colOff>122467</xdr:colOff>
      <xdr:row>62</xdr:row>
      <xdr:rowOff>54429</xdr:rowOff>
    </xdr:from>
    <xdr:ext cx="2069880" cy="705170"/>
    <xdr:pic>
      <xdr:nvPicPr>
        <xdr:cNvPr id="10" name="Imagen 9">
          <a:extLst>
            <a:ext uri="{FF2B5EF4-FFF2-40B4-BE49-F238E27FC236}">
              <a16:creationId xmlns:a16="http://schemas.microsoft.com/office/drawing/2014/main" id="{5D562918-E8C9-4873-91C6-8DD89360C2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972" b="24752"/>
        <a:stretch>
          <a:fillRect/>
        </a:stretch>
      </xdr:blipFill>
      <xdr:spPr>
        <a:xfrm>
          <a:off x="436232" y="827635"/>
          <a:ext cx="2069880" cy="705170"/>
        </a:xfrm>
        <a:prstGeom prst="rect">
          <a:avLst/>
        </a:prstGeom>
      </xdr:spPr>
    </xdr:pic>
    <xdr:clientData/>
  </xdr:oneCellAnchor>
  <xdr:oneCellAnchor>
    <xdr:from>
      <xdr:col>1</xdr:col>
      <xdr:colOff>122467</xdr:colOff>
      <xdr:row>133</xdr:row>
      <xdr:rowOff>54429</xdr:rowOff>
    </xdr:from>
    <xdr:ext cx="2069880" cy="705170"/>
    <xdr:pic>
      <xdr:nvPicPr>
        <xdr:cNvPr id="25" name="Imagen 24">
          <a:extLst>
            <a:ext uri="{FF2B5EF4-FFF2-40B4-BE49-F238E27FC236}">
              <a16:creationId xmlns:a16="http://schemas.microsoft.com/office/drawing/2014/main" id="{3424CF0B-8BBF-4041-BA4C-D9C1998DF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972" b="24752"/>
        <a:stretch>
          <a:fillRect/>
        </a:stretch>
      </xdr:blipFill>
      <xdr:spPr>
        <a:xfrm>
          <a:off x="436232" y="827635"/>
          <a:ext cx="2069880" cy="705170"/>
        </a:xfrm>
        <a:prstGeom prst="rect">
          <a:avLst/>
        </a:prstGeom>
      </xdr:spPr>
    </xdr:pic>
    <xdr:clientData/>
  </xdr:oneCellAnchor>
  <xdr:oneCellAnchor>
    <xdr:from>
      <xdr:col>1</xdr:col>
      <xdr:colOff>122467</xdr:colOff>
      <xdr:row>204</xdr:row>
      <xdr:rowOff>54429</xdr:rowOff>
    </xdr:from>
    <xdr:ext cx="2069880" cy="705170"/>
    <xdr:pic>
      <xdr:nvPicPr>
        <xdr:cNvPr id="28" name="Imagen 27">
          <a:extLst>
            <a:ext uri="{FF2B5EF4-FFF2-40B4-BE49-F238E27FC236}">
              <a16:creationId xmlns:a16="http://schemas.microsoft.com/office/drawing/2014/main" id="{42859C68-EF24-45E3-B3C2-65C46FF936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972" b="24752"/>
        <a:stretch>
          <a:fillRect/>
        </a:stretch>
      </xdr:blipFill>
      <xdr:spPr>
        <a:xfrm>
          <a:off x="436232" y="28035517"/>
          <a:ext cx="2069880" cy="705170"/>
        </a:xfrm>
        <a:prstGeom prst="rect">
          <a:avLst/>
        </a:prstGeom>
      </xdr:spPr>
    </xdr:pic>
    <xdr:clientData/>
  </xdr:oneCellAnchor>
  <xdr:twoCellAnchor>
    <xdr:from>
      <xdr:col>9</xdr:col>
      <xdr:colOff>19706</xdr:colOff>
      <xdr:row>49</xdr:row>
      <xdr:rowOff>39414</xdr:rowOff>
    </xdr:from>
    <xdr:to>
      <xdr:col>12</xdr:col>
      <xdr:colOff>722586</xdr:colOff>
      <xdr:row>49</xdr:row>
      <xdr:rowOff>302172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06782CC-CA9A-4583-BA48-FEEC56D3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19706</xdr:colOff>
      <xdr:row>47</xdr:row>
      <xdr:rowOff>39414</xdr:rowOff>
    </xdr:from>
    <xdr:to>
      <xdr:col>12</xdr:col>
      <xdr:colOff>722586</xdr:colOff>
      <xdr:row>47</xdr:row>
      <xdr:rowOff>302172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F2C3185-4CB6-484A-8ABE-A3BBE5A0C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19706</xdr:colOff>
      <xdr:row>46</xdr:row>
      <xdr:rowOff>39414</xdr:rowOff>
    </xdr:from>
    <xdr:to>
      <xdr:col>12</xdr:col>
      <xdr:colOff>722586</xdr:colOff>
      <xdr:row>46</xdr:row>
      <xdr:rowOff>302172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E5B1A0D-FB32-41B3-B5A1-BC8808C7D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19706</xdr:colOff>
      <xdr:row>45</xdr:row>
      <xdr:rowOff>39414</xdr:rowOff>
    </xdr:from>
    <xdr:to>
      <xdr:col>12</xdr:col>
      <xdr:colOff>722586</xdr:colOff>
      <xdr:row>45</xdr:row>
      <xdr:rowOff>302172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695C6EC-12D5-489D-9FE4-678ED49B6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19706</xdr:colOff>
      <xdr:row>53</xdr:row>
      <xdr:rowOff>39414</xdr:rowOff>
    </xdr:from>
    <xdr:to>
      <xdr:col>12</xdr:col>
      <xdr:colOff>722586</xdr:colOff>
      <xdr:row>53</xdr:row>
      <xdr:rowOff>302172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4EB70AF-2EA7-4288-8B4A-6271AFEA6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19706</xdr:colOff>
      <xdr:row>54</xdr:row>
      <xdr:rowOff>39414</xdr:rowOff>
    </xdr:from>
    <xdr:to>
      <xdr:col>12</xdr:col>
      <xdr:colOff>722586</xdr:colOff>
      <xdr:row>54</xdr:row>
      <xdr:rowOff>302172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2FCC071-CA84-4D2D-8FE5-EBBFCAAEC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19706</xdr:colOff>
      <xdr:row>55</xdr:row>
      <xdr:rowOff>39414</xdr:rowOff>
    </xdr:from>
    <xdr:to>
      <xdr:col>12</xdr:col>
      <xdr:colOff>722586</xdr:colOff>
      <xdr:row>55</xdr:row>
      <xdr:rowOff>302172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83C8719-B827-4BC1-B2FC-E7946DF49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19706</xdr:colOff>
      <xdr:row>56</xdr:row>
      <xdr:rowOff>39414</xdr:rowOff>
    </xdr:from>
    <xdr:to>
      <xdr:col>12</xdr:col>
      <xdr:colOff>722586</xdr:colOff>
      <xdr:row>56</xdr:row>
      <xdr:rowOff>302172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67AACCD-D61A-42AA-86B9-D12233E98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19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BA1EE2-4FEF-4D1C-B291-7A61887CFB3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47f5e72-75e0-403b-ad92-8e447cbc89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40A-112D-42E8-A0FC-ACDFB5A405E1}">
  <dimension ref="B2:W271"/>
  <sheetViews>
    <sheetView tabSelected="1" view="pageBreakPreview" zoomScale="85" zoomScaleNormal="100" zoomScaleSheetLayoutView="85" workbookViewId="0">
      <selection activeCell="L115" sqref="L115:M115"/>
    </sheetView>
  </sheetViews>
  <sheetFormatPr baseColWidth="10" defaultRowHeight="15" x14ac:dyDescent="0.25"/>
  <cols>
    <col min="1" max="1" width="4.140625" style="1" customWidth="1"/>
    <col min="2" max="13" width="11.42578125" style="1"/>
    <col min="14" max="14" width="3.7109375" style="1" customWidth="1"/>
    <col min="15" max="15" width="11.42578125" style="16"/>
    <col min="16" max="16" width="16.140625" style="16" bestFit="1" customWidth="1"/>
    <col min="17" max="17" width="11.42578125" style="16"/>
    <col min="18" max="18" width="16.140625" style="16" bestFit="1" customWidth="1"/>
    <col min="19" max="19" width="11.42578125" style="20"/>
    <col min="20" max="23" width="11.42578125" style="16"/>
    <col min="24" max="16384" width="11.42578125" style="1"/>
  </cols>
  <sheetData>
    <row r="2" spans="2:13" x14ac:dyDescent="0.25">
      <c r="B2" s="101" t="s">
        <v>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2:13" x14ac:dyDescent="0.25"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2:13" ht="15.75" thickBot="1" x14ac:dyDescent="0.3"/>
    <row r="5" spans="2:13" ht="15.75" x14ac:dyDescent="0.25">
      <c r="B5" s="122"/>
      <c r="C5" s="123"/>
      <c r="D5" s="124"/>
      <c r="E5" s="131" t="s">
        <v>7</v>
      </c>
      <c r="F5" s="132"/>
      <c r="G5" s="133"/>
      <c r="H5" s="134" t="s">
        <v>64</v>
      </c>
      <c r="I5" s="135"/>
      <c r="J5" s="135"/>
      <c r="K5" s="135"/>
      <c r="L5" s="138" t="s">
        <v>19</v>
      </c>
      <c r="M5" s="139"/>
    </row>
    <row r="6" spans="2:13" ht="15" customHeight="1" x14ac:dyDescent="0.25">
      <c r="B6" s="125"/>
      <c r="C6" s="126"/>
      <c r="D6" s="127"/>
      <c r="E6" s="96" t="s">
        <v>8</v>
      </c>
      <c r="F6" s="88"/>
      <c r="G6" s="89"/>
      <c r="H6" s="97" t="s">
        <v>11</v>
      </c>
      <c r="I6" s="98"/>
      <c r="J6" s="98"/>
      <c r="K6" s="98"/>
      <c r="L6" s="140" t="s">
        <v>174</v>
      </c>
      <c r="M6" s="141"/>
    </row>
    <row r="7" spans="2:13" ht="15" customHeight="1" x14ac:dyDescent="0.25">
      <c r="B7" s="125"/>
      <c r="C7" s="126"/>
      <c r="D7" s="127"/>
      <c r="E7" s="96" t="s">
        <v>10</v>
      </c>
      <c r="F7" s="88"/>
      <c r="G7" s="89"/>
      <c r="H7" s="97" t="s">
        <v>12</v>
      </c>
      <c r="I7" s="98"/>
      <c r="J7" s="98"/>
      <c r="K7" s="98"/>
      <c r="L7" s="142"/>
      <c r="M7" s="143"/>
    </row>
    <row r="8" spans="2:13" ht="15.75" customHeight="1" thickBot="1" x14ac:dyDescent="0.3">
      <c r="B8" s="128"/>
      <c r="C8" s="129"/>
      <c r="D8" s="130"/>
      <c r="E8" s="146" t="s">
        <v>9</v>
      </c>
      <c r="F8" s="103"/>
      <c r="G8" s="104"/>
      <c r="H8" s="136" t="s">
        <v>175</v>
      </c>
      <c r="I8" s="137"/>
      <c r="J8" s="137"/>
      <c r="K8" s="137"/>
      <c r="L8" s="144"/>
      <c r="M8" s="145"/>
    </row>
    <row r="9" spans="2:13" ht="15.75" thickBot="1" x14ac:dyDescent="0.3"/>
    <row r="10" spans="2:13" ht="21" customHeight="1" x14ac:dyDescent="0.25">
      <c r="B10" s="119" t="s">
        <v>5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1"/>
    </row>
    <row r="11" spans="2:13" x14ac:dyDescent="0.25">
      <c r="B11" s="114" t="s">
        <v>176</v>
      </c>
      <c r="C11" s="115"/>
      <c r="D11" s="115"/>
      <c r="E11" s="115"/>
      <c r="F11" s="115"/>
      <c r="G11" s="115"/>
      <c r="H11" s="115" t="s">
        <v>177</v>
      </c>
      <c r="I11" s="115"/>
      <c r="J11" s="115"/>
      <c r="K11" s="115"/>
      <c r="L11" s="115"/>
      <c r="M11" s="116"/>
    </row>
    <row r="12" spans="2:13" x14ac:dyDescent="0.25">
      <c r="B12" s="178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7"/>
    </row>
    <row r="13" spans="2:13" x14ac:dyDescent="0.25">
      <c r="B13" s="173" t="s">
        <v>191</v>
      </c>
      <c r="C13" s="174"/>
      <c r="D13" s="174"/>
      <c r="E13" s="174"/>
      <c r="F13" s="174"/>
      <c r="G13" s="174"/>
      <c r="H13" s="175" t="s">
        <v>186</v>
      </c>
      <c r="I13" s="176"/>
      <c r="J13" s="176"/>
      <c r="K13" s="176"/>
      <c r="L13" s="176"/>
      <c r="M13" s="177"/>
    </row>
    <row r="14" spans="2:13" x14ac:dyDescent="0.25">
      <c r="B14" s="173" t="s">
        <v>192</v>
      </c>
      <c r="C14" s="174"/>
      <c r="D14" s="174"/>
      <c r="E14" s="174"/>
      <c r="F14" s="174"/>
      <c r="G14" s="174"/>
      <c r="H14" s="175" t="s">
        <v>187</v>
      </c>
      <c r="I14" s="176"/>
      <c r="J14" s="176"/>
      <c r="K14" s="176"/>
      <c r="L14" s="176"/>
      <c r="M14" s="177"/>
    </row>
    <row r="15" spans="2:13" x14ac:dyDescent="0.25">
      <c r="B15" s="173" t="s">
        <v>193</v>
      </c>
      <c r="C15" s="174"/>
      <c r="D15" s="174"/>
      <c r="E15" s="174"/>
      <c r="F15" s="174"/>
      <c r="G15" s="174"/>
      <c r="H15" s="175" t="s">
        <v>188</v>
      </c>
      <c r="I15" s="176"/>
      <c r="J15" s="176"/>
      <c r="K15" s="176"/>
      <c r="L15" s="176"/>
      <c r="M15" s="177"/>
    </row>
    <row r="16" spans="2:13" x14ac:dyDescent="0.25">
      <c r="B16" s="173" t="s">
        <v>194</v>
      </c>
      <c r="C16" s="174"/>
      <c r="D16" s="174"/>
      <c r="E16" s="174"/>
      <c r="F16" s="174"/>
      <c r="G16" s="174"/>
      <c r="H16" s="171" t="s">
        <v>189</v>
      </c>
      <c r="I16" s="72"/>
      <c r="J16" s="72"/>
      <c r="K16" s="72"/>
      <c r="L16" s="72"/>
      <c r="M16" s="172"/>
    </row>
    <row r="17" spans="2:13" x14ac:dyDescent="0.25">
      <c r="B17" s="173"/>
      <c r="C17" s="174"/>
      <c r="D17" s="174"/>
      <c r="E17" s="174"/>
      <c r="F17" s="174"/>
      <c r="G17" s="174"/>
      <c r="H17" s="171" t="s">
        <v>190</v>
      </c>
      <c r="I17" s="72"/>
      <c r="J17" s="72"/>
      <c r="K17" s="72"/>
      <c r="L17" s="72"/>
      <c r="M17" s="172"/>
    </row>
    <row r="18" spans="2:13" x14ac:dyDescent="0.25">
      <c r="B18" s="173"/>
      <c r="C18" s="174"/>
      <c r="D18" s="174"/>
      <c r="E18" s="174"/>
      <c r="F18" s="174"/>
      <c r="G18" s="174"/>
      <c r="H18" s="171"/>
      <c r="I18" s="72"/>
      <c r="J18" s="72"/>
      <c r="K18" s="72"/>
      <c r="L18" s="72"/>
      <c r="M18" s="172"/>
    </row>
    <row r="19" spans="2:13" x14ac:dyDescent="0.25">
      <c r="B19" s="173"/>
      <c r="C19" s="174"/>
      <c r="D19" s="174"/>
      <c r="E19" s="174"/>
      <c r="F19" s="174"/>
      <c r="G19" s="174"/>
      <c r="H19" s="171"/>
      <c r="I19" s="72"/>
      <c r="J19" s="72"/>
      <c r="K19" s="72"/>
      <c r="L19" s="72"/>
      <c r="M19" s="172"/>
    </row>
    <row r="20" spans="2:13" x14ac:dyDescent="0.25">
      <c r="B20" s="173"/>
      <c r="C20" s="174"/>
      <c r="D20" s="174"/>
      <c r="E20" s="174"/>
      <c r="F20" s="174"/>
      <c r="G20" s="174"/>
      <c r="H20" s="171"/>
      <c r="I20" s="72"/>
      <c r="J20" s="72"/>
      <c r="K20" s="72"/>
      <c r="L20" s="72"/>
      <c r="M20" s="172"/>
    </row>
    <row r="21" spans="2:13" x14ac:dyDescent="0.25">
      <c r="B21" s="173"/>
      <c r="C21" s="174"/>
      <c r="D21" s="174"/>
      <c r="E21" s="174"/>
      <c r="F21" s="174"/>
      <c r="G21" s="174"/>
      <c r="H21" s="171"/>
      <c r="I21" s="72"/>
      <c r="J21" s="72"/>
      <c r="K21" s="72"/>
      <c r="L21" s="72"/>
      <c r="M21" s="172"/>
    </row>
    <row r="22" spans="2:13" x14ac:dyDescent="0.25">
      <c r="B22" s="173"/>
      <c r="C22" s="174"/>
      <c r="D22" s="174"/>
      <c r="E22" s="174"/>
      <c r="F22" s="174"/>
      <c r="G22" s="174"/>
      <c r="H22" s="171"/>
      <c r="I22" s="72"/>
      <c r="J22" s="72"/>
      <c r="K22" s="72"/>
      <c r="L22" s="72"/>
      <c r="M22" s="172"/>
    </row>
    <row r="23" spans="2:13" x14ac:dyDescent="0.25">
      <c r="B23" s="173"/>
      <c r="C23" s="174"/>
      <c r="D23" s="174"/>
      <c r="E23" s="174"/>
      <c r="F23" s="174"/>
      <c r="G23" s="174"/>
      <c r="H23" s="171"/>
      <c r="I23" s="72"/>
      <c r="J23" s="72"/>
      <c r="K23" s="72"/>
      <c r="L23" s="72"/>
      <c r="M23" s="172"/>
    </row>
    <row r="24" spans="2:13" x14ac:dyDescent="0.25">
      <c r="B24" s="173"/>
      <c r="C24" s="174"/>
      <c r="D24" s="174"/>
      <c r="E24" s="174"/>
      <c r="F24" s="174"/>
      <c r="G24" s="174"/>
      <c r="H24" s="171"/>
      <c r="I24" s="72"/>
      <c r="J24" s="72"/>
      <c r="K24" s="72"/>
      <c r="L24" s="72"/>
      <c r="M24" s="172"/>
    </row>
    <row r="25" spans="2:13" x14ac:dyDescent="0.25">
      <c r="B25" s="173"/>
      <c r="C25" s="174"/>
      <c r="D25" s="174"/>
      <c r="E25" s="174"/>
      <c r="F25" s="174"/>
      <c r="G25" s="174"/>
      <c r="H25" s="171"/>
      <c r="I25" s="72"/>
      <c r="J25" s="72"/>
      <c r="K25" s="72"/>
      <c r="L25" s="72"/>
      <c r="M25" s="172"/>
    </row>
    <row r="26" spans="2:13" x14ac:dyDescent="0.25">
      <c r="B26" s="173"/>
      <c r="C26" s="174"/>
      <c r="D26" s="174"/>
      <c r="E26" s="174"/>
      <c r="F26" s="174"/>
      <c r="G26" s="174"/>
      <c r="H26" s="171"/>
      <c r="I26" s="72"/>
      <c r="J26" s="72"/>
      <c r="K26" s="72"/>
      <c r="L26" s="72"/>
      <c r="M26" s="172"/>
    </row>
    <row r="27" spans="2:13" x14ac:dyDescent="0.25">
      <c r="B27" s="173"/>
      <c r="C27" s="174"/>
      <c r="D27" s="174"/>
      <c r="E27" s="174"/>
      <c r="F27" s="174"/>
      <c r="G27" s="174"/>
      <c r="H27" s="171"/>
      <c r="I27" s="72"/>
      <c r="J27" s="72"/>
      <c r="K27" s="72"/>
      <c r="L27" s="72"/>
      <c r="M27" s="172"/>
    </row>
    <row r="28" spans="2:13" x14ac:dyDescent="0.25">
      <c r="B28" s="173"/>
      <c r="C28" s="174"/>
      <c r="D28" s="174"/>
      <c r="E28" s="174"/>
      <c r="F28" s="174"/>
      <c r="G28" s="174"/>
      <c r="H28" s="171"/>
      <c r="I28" s="72"/>
      <c r="J28" s="72"/>
      <c r="K28" s="72"/>
      <c r="L28" s="72"/>
      <c r="M28" s="172"/>
    </row>
    <row r="29" spans="2:13" x14ac:dyDescent="0.25">
      <c r="B29" s="173"/>
      <c r="C29" s="174"/>
      <c r="D29" s="174"/>
      <c r="E29" s="174"/>
      <c r="F29" s="174"/>
      <c r="G29" s="174"/>
      <c r="H29" s="171"/>
      <c r="I29" s="72"/>
      <c r="J29" s="72"/>
      <c r="K29" s="72"/>
      <c r="L29" s="72"/>
      <c r="M29" s="172"/>
    </row>
    <row r="30" spans="2:13" x14ac:dyDescent="0.25">
      <c r="B30" s="173"/>
      <c r="C30" s="174"/>
      <c r="D30" s="174"/>
      <c r="E30" s="174"/>
      <c r="F30" s="174"/>
      <c r="G30" s="174"/>
      <c r="H30" s="171"/>
      <c r="I30" s="72"/>
      <c r="J30" s="72"/>
      <c r="K30" s="72"/>
      <c r="L30" s="72"/>
      <c r="M30" s="172"/>
    </row>
    <row r="31" spans="2:13" ht="15.75" thickBot="1" x14ac:dyDescent="0.3">
      <c r="B31" s="102"/>
      <c r="C31" s="103"/>
      <c r="D31" s="103"/>
      <c r="E31" s="103"/>
      <c r="F31" s="103"/>
      <c r="G31" s="104"/>
      <c r="H31" s="179"/>
      <c r="I31" s="80"/>
      <c r="J31" s="80"/>
      <c r="K31" s="80"/>
      <c r="L31" s="80"/>
      <c r="M31" s="180"/>
    </row>
    <row r="32" spans="2:13" ht="15.75" thickBot="1" x14ac:dyDescent="0.3"/>
    <row r="33" spans="2:23" ht="25.5" customHeight="1" x14ac:dyDescent="0.25">
      <c r="B33" s="183" t="s">
        <v>17</v>
      </c>
      <c r="C33" s="181"/>
      <c r="D33" s="181"/>
      <c r="E33" s="181"/>
      <c r="F33" s="181"/>
      <c r="G33" s="181"/>
      <c r="H33" s="181" t="s">
        <v>14</v>
      </c>
      <c r="I33" s="181"/>
      <c r="J33" s="181" t="s">
        <v>15</v>
      </c>
      <c r="K33" s="181"/>
      <c r="L33" s="181" t="s">
        <v>16</v>
      </c>
      <c r="M33" s="182"/>
    </row>
    <row r="34" spans="2:23" x14ac:dyDescent="0.25">
      <c r="B34" s="71"/>
      <c r="C34" s="72"/>
      <c r="D34" s="72"/>
      <c r="E34" s="72"/>
      <c r="F34" s="72"/>
      <c r="G34" s="73"/>
      <c r="H34" s="74"/>
      <c r="I34" s="74"/>
      <c r="J34" s="75"/>
      <c r="K34" s="76"/>
      <c r="L34" s="77"/>
      <c r="M34" s="78"/>
    </row>
    <row r="35" spans="2:23" x14ac:dyDescent="0.25">
      <c r="B35" s="71" t="s">
        <v>195</v>
      </c>
      <c r="C35" s="72"/>
      <c r="D35" s="72"/>
      <c r="E35" s="72"/>
      <c r="F35" s="72"/>
      <c r="G35" s="73"/>
      <c r="H35" s="74" t="s">
        <v>196</v>
      </c>
      <c r="I35" s="74"/>
      <c r="J35" s="75" t="s">
        <v>61</v>
      </c>
      <c r="K35" s="76"/>
      <c r="L35" s="77" t="s">
        <v>197</v>
      </c>
      <c r="M35" s="78"/>
    </row>
    <row r="36" spans="2:23" x14ac:dyDescent="0.25">
      <c r="B36" s="71"/>
      <c r="C36" s="72"/>
      <c r="D36" s="72"/>
      <c r="E36" s="72"/>
      <c r="F36" s="72"/>
      <c r="G36" s="73"/>
      <c r="H36" s="186"/>
      <c r="I36" s="186"/>
      <c r="J36" s="75"/>
      <c r="K36" s="76"/>
      <c r="L36" s="77"/>
      <c r="M36" s="78"/>
    </row>
    <row r="37" spans="2:23" x14ac:dyDescent="0.25">
      <c r="B37" s="71"/>
      <c r="C37" s="72"/>
      <c r="D37" s="72"/>
      <c r="E37" s="72"/>
      <c r="F37" s="72"/>
      <c r="G37" s="73"/>
      <c r="H37" s="74"/>
      <c r="I37" s="74"/>
      <c r="J37" s="75"/>
      <c r="K37" s="76"/>
      <c r="L37" s="77"/>
      <c r="M37" s="78"/>
    </row>
    <row r="38" spans="2:23" x14ac:dyDescent="0.25">
      <c r="B38" s="71"/>
      <c r="C38" s="72"/>
      <c r="D38" s="72"/>
      <c r="E38" s="72"/>
      <c r="F38" s="72"/>
      <c r="G38" s="73"/>
      <c r="H38" s="74"/>
      <c r="I38" s="74"/>
      <c r="J38" s="75"/>
      <c r="K38" s="76"/>
      <c r="L38" s="77"/>
      <c r="M38" s="78"/>
    </row>
    <row r="39" spans="2:23" ht="15" customHeight="1" x14ac:dyDescent="0.25">
      <c r="B39" s="71"/>
      <c r="C39" s="72"/>
      <c r="D39" s="72"/>
      <c r="E39" s="72"/>
      <c r="F39" s="72"/>
      <c r="G39" s="73"/>
      <c r="H39" s="74"/>
      <c r="I39" s="74"/>
      <c r="J39" s="75"/>
      <c r="K39" s="76"/>
      <c r="L39" s="77"/>
      <c r="M39" s="78"/>
      <c r="O39" s="59"/>
    </row>
    <row r="40" spans="2:23" ht="15" customHeight="1" x14ac:dyDescent="0.25">
      <c r="B40" s="71"/>
      <c r="C40" s="72"/>
      <c r="D40" s="72"/>
      <c r="E40" s="72"/>
      <c r="F40" s="72"/>
      <c r="G40" s="73"/>
      <c r="H40" s="74"/>
      <c r="I40" s="74"/>
      <c r="J40" s="75"/>
      <c r="K40" s="76"/>
      <c r="L40" s="77"/>
      <c r="M40" s="78"/>
      <c r="O40" s="59"/>
    </row>
    <row r="41" spans="2:23" ht="15" customHeight="1" x14ac:dyDescent="0.25">
      <c r="B41" s="71"/>
      <c r="C41" s="72"/>
      <c r="D41" s="72"/>
      <c r="E41" s="72"/>
      <c r="F41" s="72"/>
      <c r="G41" s="73"/>
      <c r="H41" s="74"/>
      <c r="I41" s="74"/>
      <c r="J41" s="75"/>
      <c r="K41" s="76"/>
      <c r="L41" s="77"/>
      <c r="M41" s="78"/>
      <c r="O41" s="59"/>
    </row>
    <row r="42" spans="2:23" ht="15.75" thickBot="1" x14ac:dyDescent="0.3">
      <c r="B42" s="79"/>
      <c r="C42" s="80"/>
      <c r="D42" s="80"/>
      <c r="E42" s="80"/>
      <c r="F42" s="80"/>
      <c r="G42" s="81"/>
      <c r="H42" s="82"/>
      <c r="I42" s="82"/>
      <c r="J42" s="83"/>
      <c r="K42" s="84"/>
      <c r="L42" s="85"/>
      <c r="M42" s="86"/>
      <c r="O42" s="59"/>
    </row>
    <row r="43" spans="2:23" ht="15.75" thickBot="1" x14ac:dyDescent="0.3">
      <c r="O43" s="59"/>
    </row>
    <row r="44" spans="2:23" s="7" customFormat="1" ht="24.75" customHeight="1" x14ac:dyDescent="0.25">
      <c r="B44" s="13" t="s">
        <v>0</v>
      </c>
      <c r="C44" s="14"/>
      <c r="D44" s="14"/>
      <c r="E44" s="14"/>
      <c r="F44" s="14"/>
      <c r="G44" s="14" t="s">
        <v>3</v>
      </c>
      <c r="H44" s="14" t="s">
        <v>1</v>
      </c>
      <c r="I44" s="14" t="s">
        <v>4</v>
      </c>
      <c r="J44" s="196" t="s">
        <v>2</v>
      </c>
      <c r="K44" s="196"/>
      <c r="L44" s="196"/>
      <c r="M44" s="197"/>
      <c r="O44" s="60"/>
      <c r="P44" s="17"/>
      <c r="Q44" s="17"/>
      <c r="R44" s="17"/>
      <c r="S44" s="21"/>
      <c r="T44" s="17"/>
      <c r="U44" s="17"/>
      <c r="V44" s="17"/>
      <c r="W44" s="17"/>
    </row>
    <row r="45" spans="2:23" x14ac:dyDescent="0.25">
      <c r="B45" s="8"/>
      <c r="M45" s="9"/>
      <c r="O45" s="59"/>
    </row>
    <row r="46" spans="2:23" s="2" customFormat="1" ht="27" customHeight="1" x14ac:dyDescent="0.25">
      <c r="B46" s="15" t="str">
        <f>+AVANCES!B6</f>
        <v>CIMENTACION</v>
      </c>
      <c r="C46" s="5"/>
      <c r="D46" s="5"/>
      <c r="E46" s="5"/>
      <c r="F46" s="6"/>
      <c r="G46" s="29">
        <f>+AVANCES!E6</f>
        <v>1.0000000000000002</v>
      </c>
      <c r="H46" s="29">
        <f>+AVANCES!F6</f>
        <v>0.95038868914017516</v>
      </c>
      <c r="I46" s="30">
        <f>+H46-G46</f>
        <v>-4.9611310859825064E-2</v>
      </c>
      <c r="J46" s="184"/>
      <c r="K46" s="184"/>
      <c r="L46" s="184"/>
      <c r="M46" s="185"/>
      <c r="O46" s="60"/>
      <c r="P46" s="19"/>
      <c r="Q46" s="19"/>
      <c r="R46" s="19"/>
      <c r="S46" s="18"/>
      <c r="T46" s="18"/>
      <c r="U46" s="18"/>
      <c r="V46" s="18"/>
      <c r="W46" s="18"/>
    </row>
    <row r="47" spans="2:23" s="2" customFormat="1" ht="27" customHeight="1" x14ac:dyDescent="0.25">
      <c r="B47" s="15" t="str">
        <f>+AVANCES!B19</f>
        <v>ALBAÑILERIA</v>
      </c>
      <c r="C47" s="5"/>
      <c r="D47" s="5"/>
      <c r="E47" s="5"/>
      <c r="F47" s="6"/>
      <c r="G47" s="29">
        <f>+AVANCES!E19</f>
        <v>0.89989874972740169</v>
      </c>
      <c r="H47" s="29">
        <f>+AVANCES!F19</f>
        <v>0.66180273319999328</v>
      </c>
      <c r="I47" s="44">
        <f>+H47-G47</f>
        <v>-0.23809601652740842</v>
      </c>
      <c r="J47" s="184"/>
      <c r="K47" s="184"/>
      <c r="L47" s="184"/>
      <c r="M47" s="185"/>
      <c r="O47" s="60"/>
      <c r="P47" s="19"/>
      <c r="Q47" s="19"/>
      <c r="R47" s="19"/>
      <c r="S47" s="18"/>
      <c r="T47" s="18"/>
      <c r="U47" s="18"/>
      <c r="V47" s="18"/>
      <c r="W47" s="18"/>
    </row>
    <row r="48" spans="2:23" s="3" customFormat="1" ht="27" customHeight="1" x14ac:dyDescent="0.25">
      <c r="B48" s="15" t="str">
        <f>+AVANCES!B23</f>
        <v>PLAFONES</v>
      </c>
      <c r="C48" s="5"/>
      <c r="D48" s="5"/>
      <c r="E48" s="5"/>
      <c r="F48" s="6"/>
      <c r="G48" s="29">
        <f>+AVANCES!E23</f>
        <v>0</v>
      </c>
      <c r="H48" s="29">
        <f>+AVANCES!F23</f>
        <v>0</v>
      </c>
      <c r="I48" s="69">
        <f>+H48-G48</f>
        <v>0</v>
      </c>
      <c r="J48" s="184"/>
      <c r="K48" s="184"/>
      <c r="L48" s="184"/>
      <c r="M48" s="185"/>
      <c r="O48" s="19"/>
      <c r="P48" s="19"/>
      <c r="Q48" s="19"/>
      <c r="R48" s="19"/>
      <c r="S48" s="18"/>
      <c r="T48" s="19"/>
      <c r="U48" s="19"/>
      <c r="V48" s="19"/>
      <c r="W48" s="19"/>
    </row>
    <row r="49" spans="2:23" s="3" customFormat="1" ht="27" customHeight="1" x14ac:dyDescent="0.25">
      <c r="B49" s="15" t="str">
        <f>+AVANCES!B27</f>
        <v>ACABADOS</v>
      </c>
      <c r="C49" s="5"/>
      <c r="D49" s="5"/>
      <c r="E49" s="5"/>
      <c r="F49" s="6"/>
      <c r="G49" s="55">
        <f>+AVANCES!E27</f>
        <v>0</v>
      </c>
      <c r="H49" s="55">
        <f>+AVANCES!F27</f>
        <v>0</v>
      </c>
      <c r="I49" s="69">
        <f>+H49-G49</f>
        <v>0</v>
      </c>
      <c r="J49" s="184"/>
      <c r="K49" s="184"/>
      <c r="L49" s="184"/>
      <c r="M49" s="185"/>
      <c r="O49" s="19"/>
      <c r="P49" s="19"/>
      <c r="Q49" s="19"/>
      <c r="R49" s="19"/>
      <c r="S49" s="18"/>
      <c r="T49" s="19"/>
      <c r="U49" s="19"/>
      <c r="V49" s="19"/>
      <c r="W49" s="19"/>
    </row>
    <row r="50" spans="2:23" s="3" customFormat="1" ht="27" customHeight="1" x14ac:dyDescent="0.25">
      <c r="B50" s="15" t="str">
        <f>+AVANCES!B35</f>
        <v>ESTRUCTURA TECHUMBRE</v>
      </c>
      <c r="C50" s="5"/>
      <c r="D50" s="5"/>
      <c r="E50" s="5"/>
      <c r="F50" s="6"/>
      <c r="G50" s="55">
        <f>+AVANCES!E35</f>
        <v>0.83618669376483223</v>
      </c>
      <c r="H50" s="55">
        <f>+AVANCES!F35</f>
        <v>0.79297249946237625</v>
      </c>
      <c r="I50" s="44">
        <f>+H50-G50</f>
        <v>-4.3214194302455988E-2</v>
      </c>
      <c r="J50" s="184"/>
      <c r="K50" s="184"/>
      <c r="L50" s="184"/>
      <c r="M50" s="185"/>
      <c r="O50" s="19"/>
      <c r="P50" s="19"/>
      <c r="Q50" s="19"/>
      <c r="R50" s="19"/>
      <c r="S50" s="18"/>
      <c r="T50" s="19"/>
      <c r="U50" s="19"/>
      <c r="V50" s="19"/>
      <c r="W50" s="19"/>
    </row>
    <row r="51" spans="2:23" s="3" customFormat="1" ht="27" customHeight="1" x14ac:dyDescent="0.25">
      <c r="B51" s="15" t="str">
        <f>+AVANCES!B45</f>
        <v>HERRERIAS</v>
      </c>
      <c r="C51" s="5"/>
      <c r="D51" s="5"/>
      <c r="E51" s="5"/>
      <c r="F51" s="6"/>
      <c r="G51" s="55">
        <f>+AVANCES!E45</f>
        <v>0</v>
      </c>
      <c r="H51" s="55">
        <f>+AVANCES!F45</f>
        <v>0</v>
      </c>
      <c r="I51" s="69">
        <f t="shared" ref="I51:I53" si="0">+H51-G51</f>
        <v>0</v>
      </c>
      <c r="J51" s="184"/>
      <c r="K51" s="184"/>
      <c r="L51" s="184"/>
      <c r="M51" s="185"/>
      <c r="O51" s="19"/>
      <c r="P51" s="19"/>
      <c r="Q51" s="19"/>
      <c r="R51" s="19"/>
      <c r="S51" s="18"/>
      <c r="T51" s="19"/>
      <c r="U51" s="19"/>
      <c r="V51" s="19"/>
      <c r="W51" s="19"/>
    </row>
    <row r="52" spans="2:23" s="3" customFormat="1" ht="27" customHeight="1" x14ac:dyDescent="0.25">
      <c r="B52" s="15" t="str">
        <f>+AVANCES!B49</f>
        <v>CARPINTERIA Y CANCELERIA</v>
      </c>
      <c r="C52" s="5"/>
      <c r="D52" s="5"/>
      <c r="E52" s="5"/>
      <c r="F52" s="6"/>
      <c r="G52" s="55">
        <f>+AVANCES!E49</f>
        <v>0</v>
      </c>
      <c r="H52" s="55">
        <f>+AVANCES!F49</f>
        <v>0</v>
      </c>
      <c r="I52" s="69">
        <f t="shared" si="0"/>
        <v>0</v>
      </c>
      <c r="J52" s="184"/>
      <c r="K52" s="184"/>
      <c r="L52" s="184"/>
      <c r="M52" s="185"/>
      <c r="O52" s="19"/>
      <c r="P52" s="19"/>
      <c r="Q52" s="19"/>
      <c r="R52" s="19"/>
      <c r="S52" s="18"/>
      <c r="T52" s="19"/>
      <c r="U52" s="19"/>
      <c r="V52" s="19"/>
      <c r="W52" s="19"/>
    </row>
    <row r="53" spans="2:23" s="3" customFormat="1" ht="27" customHeight="1" x14ac:dyDescent="0.25">
      <c r="B53" s="15" t="str">
        <f>+AVANCES!B54</f>
        <v>INSTALACIONES HIDRÁULICAS</v>
      </c>
      <c r="C53" s="5"/>
      <c r="D53" s="5"/>
      <c r="E53" s="5"/>
      <c r="F53" s="6"/>
      <c r="G53" s="29">
        <f>+AVANCES!E54</f>
        <v>0</v>
      </c>
      <c r="H53" s="29">
        <f>+AVANCES!F54</f>
        <v>0</v>
      </c>
      <c r="I53" s="69">
        <f t="shared" si="0"/>
        <v>0</v>
      </c>
      <c r="J53" s="184"/>
      <c r="K53" s="184"/>
      <c r="L53" s="184"/>
      <c r="M53" s="185"/>
      <c r="O53" s="19"/>
      <c r="P53" s="19"/>
      <c r="Q53" s="19"/>
      <c r="R53" s="19"/>
      <c r="S53" s="18"/>
      <c r="T53" s="19"/>
      <c r="U53" s="19"/>
      <c r="V53" s="19"/>
      <c r="W53" s="19"/>
    </row>
    <row r="54" spans="2:23" s="3" customFormat="1" ht="27" customHeight="1" x14ac:dyDescent="0.25">
      <c r="B54" s="15" t="str">
        <f>+AVANCES!B76</f>
        <v xml:space="preserve">INSTALACIONES ELECTRICAS </v>
      </c>
      <c r="C54" s="5"/>
      <c r="D54" s="5"/>
      <c r="E54" s="5"/>
      <c r="F54" s="6"/>
      <c r="G54" s="29">
        <f>+AVANCES!E76</f>
        <v>0.76144990996213091</v>
      </c>
      <c r="H54" s="29">
        <f>+AVANCES!F76</f>
        <v>0.65722008841031165</v>
      </c>
      <c r="I54" s="44">
        <f t="shared" ref="I54:I56" si="1">+H54-G54</f>
        <v>-0.10422982155181926</v>
      </c>
      <c r="J54" s="184"/>
      <c r="K54" s="184"/>
      <c r="L54" s="184"/>
      <c r="M54" s="185"/>
      <c r="O54" s="19"/>
      <c r="P54" s="19"/>
      <c r="Q54" s="19"/>
      <c r="R54" s="19"/>
      <c r="S54" s="18"/>
      <c r="T54" s="19"/>
      <c r="U54" s="19"/>
      <c r="V54" s="19"/>
      <c r="W54" s="19"/>
    </row>
    <row r="55" spans="2:23" s="3" customFormat="1" ht="27" customHeight="1" x14ac:dyDescent="0.25">
      <c r="B55" s="15" t="str">
        <f>+AVANCES!B96</f>
        <v>SISTEMA DE AIRES ACONDICIONADOS</v>
      </c>
      <c r="C55" s="5"/>
      <c r="D55" s="5"/>
      <c r="E55" s="5"/>
      <c r="F55" s="6"/>
      <c r="G55" s="29">
        <f>+AVANCES!E96</f>
        <v>4.6028247096610513E-2</v>
      </c>
      <c r="H55" s="29">
        <f>+AVANCES!F96</f>
        <v>1.13173077187007E-2</v>
      </c>
      <c r="I55" s="44">
        <f t="shared" si="1"/>
        <v>-3.4710939377909811E-2</v>
      </c>
      <c r="J55" s="184"/>
      <c r="K55" s="184"/>
      <c r="L55" s="184"/>
      <c r="M55" s="185"/>
      <c r="O55" s="19"/>
      <c r="P55" s="19"/>
      <c r="Q55" s="19"/>
      <c r="R55" s="19"/>
      <c r="S55" s="18"/>
      <c r="T55" s="19"/>
      <c r="U55" s="19"/>
      <c r="V55" s="19"/>
      <c r="W55" s="19"/>
    </row>
    <row r="56" spans="2:23" s="2" customFormat="1" ht="27" customHeight="1" x14ac:dyDescent="0.25">
      <c r="B56" s="15" t="str">
        <f>+AVANCES!B100</f>
        <v>CONTROL DE ACCESO</v>
      </c>
      <c r="C56" s="5"/>
      <c r="D56" s="5"/>
      <c r="E56" s="5"/>
      <c r="F56" s="6"/>
      <c r="G56" s="29">
        <f>+AVANCES!E100</f>
        <v>0</v>
      </c>
      <c r="H56" s="29">
        <f>+AVANCES!F100</f>
        <v>0</v>
      </c>
      <c r="I56" s="69">
        <f t="shared" si="1"/>
        <v>0</v>
      </c>
      <c r="J56" s="184"/>
      <c r="K56" s="184"/>
      <c r="L56" s="184"/>
      <c r="M56" s="185"/>
      <c r="O56" s="19"/>
      <c r="P56" s="19"/>
      <c r="Q56" s="19"/>
      <c r="R56" s="19"/>
      <c r="S56" s="18"/>
      <c r="T56" s="18"/>
      <c r="U56" s="18"/>
      <c r="V56" s="18"/>
      <c r="W56" s="18"/>
    </row>
    <row r="57" spans="2:23" s="2" customFormat="1" ht="27" customHeight="1" x14ac:dyDescent="0.25">
      <c r="B57" s="15" t="str">
        <f>+AVANCES!B112</f>
        <v>LETRERO</v>
      </c>
      <c r="C57" s="5"/>
      <c r="D57" s="5"/>
      <c r="E57" s="5"/>
      <c r="F57" s="6"/>
      <c r="G57" s="29">
        <f>+AVANCES!E112</f>
        <v>0</v>
      </c>
      <c r="H57" s="29">
        <f>+AVANCES!F112</f>
        <v>0</v>
      </c>
      <c r="I57" s="69">
        <f t="shared" ref="I57" si="2">+H57-G57</f>
        <v>0</v>
      </c>
      <c r="J57" s="184"/>
      <c r="K57" s="184"/>
      <c r="L57" s="184"/>
      <c r="M57" s="185"/>
      <c r="O57" s="19"/>
      <c r="P57" s="19"/>
      <c r="Q57" s="19"/>
      <c r="R57" s="19"/>
      <c r="S57" s="18"/>
      <c r="T57" s="18"/>
      <c r="U57" s="18"/>
      <c r="V57" s="18"/>
      <c r="W57" s="18"/>
    </row>
    <row r="58" spans="2:23" s="3" customFormat="1" ht="27" customHeight="1" thickBot="1" x14ac:dyDescent="0.3"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2"/>
      <c r="O58" s="19"/>
      <c r="P58" s="19"/>
      <c r="Q58" s="19"/>
      <c r="R58" s="19"/>
      <c r="S58" s="18"/>
      <c r="T58" s="19"/>
      <c r="U58" s="19"/>
      <c r="V58" s="19"/>
      <c r="W58" s="19"/>
    </row>
    <row r="59" spans="2:23" x14ac:dyDescent="0.25">
      <c r="G59" s="4"/>
      <c r="H59" s="4"/>
      <c r="I59" s="4"/>
    </row>
    <row r="60" spans="2:23" x14ac:dyDescent="0.25">
      <c r="B60" s="101" t="s">
        <v>6</v>
      </c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</row>
    <row r="61" spans="2:23" x14ac:dyDescent="0.25"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</row>
    <row r="62" spans="2:23" ht="15.75" thickBot="1" x14ac:dyDescent="0.3"/>
    <row r="63" spans="2:23" ht="15.75" x14ac:dyDescent="0.25">
      <c r="B63" s="122"/>
      <c r="C63" s="123"/>
      <c r="D63" s="124"/>
      <c r="E63" s="131" t="s">
        <v>7</v>
      </c>
      <c r="F63" s="132"/>
      <c r="G63" s="133"/>
      <c r="H63" s="134" t="s">
        <v>64</v>
      </c>
      <c r="I63" s="135"/>
      <c r="J63" s="135"/>
      <c r="K63" s="135"/>
      <c r="L63" s="138" t="s">
        <v>19</v>
      </c>
      <c r="M63" s="139"/>
    </row>
    <row r="64" spans="2:23" ht="15" customHeight="1" x14ac:dyDescent="0.25">
      <c r="B64" s="125"/>
      <c r="C64" s="126"/>
      <c r="D64" s="127"/>
      <c r="E64" s="96" t="s">
        <v>8</v>
      </c>
      <c r="F64" s="88"/>
      <c r="G64" s="89"/>
      <c r="H64" s="97" t="s">
        <v>11</v>
      </c>
      <c r="I64" s="98"/>
      <c r="J64" s="98"/>
      <c r="K64" s="98"/>
      <c r="L64" s="140" t="s">
        <v>174</v>
      </c>
      <c r="M64" s="141"/>
    </row>
    <row r="65" spans="2:13" ht="15" customHeight="1" x14ac:dyDescent="0.25">
      <c r="B65" s="125"/>
      <c r="C65" s="126"/>
      <c r="D65" s="127"/>
      <c r="E65" s="96" t="s">
        <v>10</v>
      </c>
      <c r="F65" s="88"/>
      <c r="G65" s="89"/>
      <c r="H65" s="97" t="s">
        <v>12</v>
      </c>
      <c r="I65" s="98"/>
      <c r="J65" s="98"/>
      <c r="K65" s="98"/>
      <c r="L65" s="142"/>
      <c r="M65" s="143"/>
    </row>
    <row r="66" spans="2:13" ht="15.75" customHeight="1" thickBot="1" x14ac:dyDescent="0.3">
      <c r="B66" s="128"/>
      <c r="C66" s="129"/>
      <c r="D66" s="130"/>
      <c r="E66" s="146" t="s">
        <v>9</v>
      </c>
      <c r="F66" s="103"/>
      <c r="G66" s="104"/>
      <c r="H66" s="136" t="s">
        <v>175</v>
      </c>
      <c r="I66" s="137"/>
      <c r="J66" s="137"/>
      <c r="K66" s="137"/>
      <c r="L66" s="144"/>
      <c r="M66" s="145"/>
    </row>
    <row r="67" spans="2:13" ht="15.75" thickBot="1" x14ac:dyDescent="0.3"/>
    <row r="68" spans="2:13" ht="18.75" x14ac:dyDescent="0.25">
      <c r="B68" s="119" t="s">
        <v>13</v>
      </c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1"/>
    </row>
    <row r="69" spans="2:13" x14ac:dyDescent="0.25">
      <c r="B69" s="8"/>
      <c r="M69" s="9"/>
    </row>
    <row r="70" spans="2:13" x14ac:dyDescent="0.25">
      <c r="B70" s="8"/>
      <c r="M70" s="9"/>
    </row>
    <row r="71" spans="2:13" x14ac:dyDescent="0.25">
      <c r="B71" s="8"/>
      <c r="M71" s="9"/>
    </row>
    <row r="72" spans="2:13" x14ac:dyDescent="0.25">
      <c r="B72" s="8"/>
      <c r="M72" s="9"/>
    </row>
    <row r="73" spans="2:13" x14ac:dyDescent="0.25">
      <c r="B73" s="8"/>
      <c r="M73" s="9"/>
    </row>
    <row r="74" spans="2:13" x14ac:dyDescent="0.25">
      <c r="B74" s="8"/>
      <c r="M74" s="9"/>
    </row>
    <row r="75" spans="2:13" x14ac:dyDescent="0.25">
      <c r="B75" s="8"/>
      <c r="M75" s="9"/>
    </row>
    <row r="76" spans="2:13" x14ac:dyDescent="0.25">
      <c r="B76" s="8"/>
      <c r="M76" s="9"/>
    </row>
    <row r="77" spans="2:13" x14ac:dyDescent="0.25">
      <c r="B77" s="8"/>
      <c r="M77" s="9"/>
    </row>
    <row r="78" spans="2:13" x14ac:dyDescent="0.25">
      <c r="B78" s="8"/>
      <c r="M78" s="9"/>
    </row>
    <row r="79" spans="2:13" x14ac:dyDescent="0.25">
      <c r="B79" s="8"/>
      <c r="M79" s="9"/>
    </row>
    <row r="80" spans="2:13" x14ac:dyDescent="0.25">
      <c r="B80" s="8"/>
      <c r="M80" s="9"/>
    </row>
    <row r="81" spans="2:16" x14ac:dyDescent="0.25">
      <c r="B81" s="8"/>
      <c r="M81" s="9"/>
    </row>
    <row r="82" spans="2:16" x14ac:dyDescent="0.25">
      <c r="B82" s="8"/>
      <c r="M82" s="9"/>
    </row>
    <row r="83" spans="2:16" x14ac:dyDescent="0.25">
      <c r="B83" s="8"/>
      <c r="M83" s="9"/>
    </row>
    <row r="84" spans="2:16" x14ac:dyDescent="0.25">
      <c r="B84" s="8"/>
      <c r="M84" s="9"/>
    </row>
    <row r="85" spans="2:16" x14ac:dyDescent="0.25">
      <c r="B85" s="8"/>
      <c r="M85" s="9"/>
    </row>
    <row r="86" spans="2:16" x14ac:dyDescent="0.25">
      <c r="B86" s="8"/>
      <c r="M86" s="9"/>
    </row>
    <row r="87" spans="2:16" x14ac:dyDescent="0.25">
      <c r="B87" s="8"/>
      <c r="M87" s="9"/>
    </row>
    <row r="88" spans="2:16" x14ac:dyDescent="0.25">
      <c r="B88" s="8"/>
      <c r="M88" s="9"/>
    </row>
    <row r="89" spans="2:16" x14ac:dyDescent="0.25">
      <c r="B89" s="8"/>
      <c r="M89" s="9"/>
    </row>
    <row r="90" spans="2:16" x14ac:dyDescent="0.25">
      <c r="B90" s="8"/>
      <c r="M90" s="9"/>
      <c r="P90" s="22"/>
    </row>
    <row r="91" spans="2:16" x14ac:dyDescent="0.25">
      <c r="B91" s="8"/>
      <c r="M91" s="9"/>
      <c r="P91" s="22"/>
    </row>
    <row r="92" spans="2:16" x14ac:dyDescent="0.25">
      <c r="B92" s="8"/>
      <c r="M92" s="9"/>
      <c r="P92" s="26"/>
    </row>
    <row r="93" spans="2:16" x14ac:dyDescent="0.25">
      <c r="B93" s="8"/>
      <c r="M93" s="9"/>
    </row>
    <row r="94" spans="2:16" x14ac:dyDescent="0.25">
      <c r="B94" s="8"/>
      <c r="M94" s="9"/>
    </row>
    <row r="95" spans="2:16" x14ac:dyDescent="0.25">
      <c r="B95" s="8"/>
      <c r="C95" s="90" t="s">
        <v>62</v>
      </c>
      <c r="D95" s="187"/>
      <c r="E95" s="187"/>
      <c r="F95" s="91"/>
      <c r="G95" s="155" t="s">
        <v>63</v>
      </c>
      <c r="H95" s="156"/>
      <c r="I95" s="156"/>
      <c r="J95" s="157"/>
      <c r="K95" s="161" t="s">
        <v>4</v>
      </c>
      <c r="L95" s="162"/>
      <c r="M95" s="9"/>
    </row>
    <row r="96" spans="2:16" x14ac:dyDescent="0.25">
      <c r="B96" s="8"/>
      <c r="C96" s="152">
        <f>+AVANCES!G4</f>
        <v>629971.44469999999</v>
      </c>
      <c r="D96" s="153"/>
      <c r="E96" s="153"/>
      <c r="F96" s="154"/>
      <c r="G96" s="158">
        <f>+AVANCES!H4</f>
        <v>560216.7790000001</v>
      </c>
      <c r="H96" s="159"/>
      <c r="I96" s="159"/>
      <c r="J96" s="160"/>
      <c r="K96" s="163">
        <f>+G96-C96</f>
        <v>-69754.665699999896</v>
      </c>
      <c r="L96" s="164"/>
      <c r="M96" s="9"/>
    </row>
    <row r="97" spans="2:18" x14ac:dyDescent="0.25">
      <c r="B97" s="8"/>
      <c r="C97" s="165">
        <f>+AVANCES!E4</f>
        <v>0.35489488748150338</v>
      </c>
      <c r="D97" s="166"/>
      <c r="E97" s="166"/>
      <c r="F97" s="167"/>
      <c r="G97" s="168">
        <f>+AVANCES!F4</f>
        <v>0.31559854406279453</v>
      </c>
      <c r="H97" s="169"/>
      <c r="I97" s="169"/>
      <c r="J97" s="170"/>
      <c r="K97" s="188">
        <f>+G97-C97</f>
        <v>-3.9296343418708857E-2</v>
      </c>
      <c r="L97" s="189"/>
      <c r="M97" s="9"/>
      <c r="P97" s="22"/>
      <c r="R97" s="25"/>
    </row>
    <row r="98" spans="2:18" x14ac:dyDescent="0.25">
      <c r="B98" s="8"/>
      <c r="M98" s="9"/>
      <c r="R98" s="24"/>
    </row>
    <row r="99" spans="2:18" x14ac:dyDescent="0.25">
      <c r="B99" s="8"/>
      <c r="M99" s="9"/>
      <c r="P99" s="51"/>
      <c r="Q99" s="52"/>
    </row>
    <row r="100" spans="2:18" x14ac:dyDescent="0.25">
      <c r="B100" s="8"/>
      <c r="M100" s="9"/>
      <c r="P100" s="52" t="s">
        <v>29</v>
      </c>
      <c r="Q100" s="52"/>
    </row>
    <row r="101" spans="2:18" x14ac:dyDescent="0.25">
      <c r="B101" s="8"/>
      <c r="M101" s="9"/>
      <c r="P101" s="53">
        <f>+REPORTE!C97</f>
        <v>0.35489488748150338</v>
      </c>
      <c r="Q101" s="54">
        <f>100%-P101</f>
        <v>0.64510511251849656</v>
      </c>
    </row>
    <row r="102" spans="2:18" x14ac:dyDescent="0.25">
      <c r="B102" s="8"/>
      <c r="M102" s="9"/>
      <c r="P102" s="52" t="s">
        <v>33</v>
      </c>
      <c r="Q102" s="53" t="s">
        <v>34</v>
      </c>
    </row>
    <row r="103" spans="2:18" x14ac:dyDescent="0.25">
      <c r="B103" s="8"/>
      <c r="M103" s="9"/>
      <c r="P103" s="52"/>
      <c r="Q103" s="53"/>
    </row>
    <row r="104" spans="2:18" x14ac:dyDescent="0.25">
      <c r="B104" s="8"/>
      <c r="M104" s="9"/>
      <c r="P104" s="52"/>
      <c r="Q104" s="53"/>
    </row>
    <row r="105" spans="2:18" x14ac:dyDescent="0.25">
      <c r="B105" s="8"/>
      <c r="M105" s="9"/>
      <c r="P105" s="52" t="s">
        <v>37</v>
      </c>
      <c r="Q105" s="53"/>
    </row>
    <row r="106" spans="2:18" x14ac:dyDescent="0.25">
      <c r="B106" s="8"/>
      <c r="M106" s="9"/>
      <c r="P106" s="53">
        <f>+G97</f>
        <v>0.31559854406279453</v>
      </c>
      <c r="Q106" s="54">
        <f>100%-P106</f>
        <v>0.68440145593720547</v>
      </c>
    </row>
    <row r="107" spans="2:18" x14ac:dyDescent="0.25">
      <c r="B107" s="8"/>
      <c r="M107" s="9"/>
      <c r="P107" s="52" t="s">
        <v>35</v>
      </c>
      <c r="Q107" s="52" t="s">
        <v>34</v>
      </c>
    </row>
    <row r="108" spans="2:18" x14ac:dyDescent="0.25">
      <c r="B108" s="8"/>
      <c r="M108" s="9"/>
      <c r="P108" s="52"/>
      <c r="Q108" s="52"/>
    </row>
    <row r="109" spans="2:18" ht="15.75" thickBot="1" x14ac:dyDescent="0.3">
      <c r="B109" s="10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2"/>
      <c r="Q109" s="23"/>
    </row>
    <row r="110" spans="2:18" ht="15.75" thickBot="1" x14ac:dyDescent="0.3">
      <c r="P110" s="23"/>
      <c r="Q110" s="24"/>
    </row>
    <row r="111" spans="2:18" ht="19.5" thickBot="1" x14ac:dyDescent="0.3">
      <c r="B111" s="193" t="s">
        <v>30</v>
      </c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5"/>
    </row>
    <row r="112" spans="2:18" x14ac:dyDescent="0.25">
      <c r="B112" s="190" t="s">
        <v>178</v>
      </c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2"/>
    </row>
    <row r="113" spans="2:13" x14ac:dyDescent="0.25">
      <c r="B113" s="117" t="s">
        <v>0</v>
      </c>
      <c r="C113" s="111"/>
      <c r="D113" s="111"/>
      <c r="E113" s="111"/>
      <c r="F113" s="111"/>
      <c r="G113" s="111"/>
      <c r="H113" s="111" t="s">
        <v>59</v>
      </c>
      <c r="I113" s="111"/>
      <c r="J113" s="111" t="s">
        <v>31</v>
      </c>
      <c r="K113" s="111"/>
      <c r="L113" s="111" t="s">
        <v>32</v>
      </c>
      <c r="M113" s="118"/>
    </row>
    <row r="114" spans="2:13" x14ac:dyDescent="0.25">
      <c r="B114" s="87"/>
      <c r="C114" s="88"/>
      <c r="D114" s="88"/>
      <c r="E114" s="88"/>
      <c r="F114" s="88"/>
      <c r="G114" s="89"/>
      <c r="H114" s="94"/>
      <c r="I114" s="95"/>
      <c r="J114" s="150"/>
      <c r="K114" s="151"/>
      <c r="L114" s="198"/>
      <c r="M114" s="199"/>
    </row>
    <row r="115" spans="2:13" x14ac:dyDescent="0.25">
      <c r="B115" s="87" t="s">
        <v>182</v>
      </c>
      <c r="C115" s="88"/>
      <c r="D115" s="88"/>
      <c r="E115" s="88"/>
      <c r="F115" s="88"/>
      <c r="G115" s="89"/>
      <c r="H115" s="94">
        <v>46174</v>
      </c>
      <c r="I115" s="95"/>
      <c r="J115" s="150" t="s">
        <v>57</v>
      </c>
      <c r="K115" s="151"/>
      <c r="L115" s="112" t="s">
        <v>56</v>
      </c>
      <c r="M115" s="113"/>
    </row>
    <row r="116" spans="2:13" x14ac:dyDescent="0.25">
      <c r="B116" s="87" t="s">
        <v>198</v>
      </c>
      <c r="C116" s="88"/>
      <c r="D116" s="88"/>
      <c r="E116" s="88"/>
      <c r="F116" s="88"/>
      <c r="G116" s="89"/>
      <c r="H116" s="94">
        <v>46174</v>
      </c>
      <c r="I116" s="95"/>
      <c r="J116" s="150" t="s">
        <v>57</v>
      </c>
      <c r="K116" s="151"/>
      <c r="L116" s="92" t="s">
        <v>58</v>
      </c>
      <c r="M116" s="93"/>
    </row>
    <row r="117" spans="2:13" x14ac:dyDescent="0.25">
      <c r="B117" s="87"/>
      <c r="C117" s="88"/>
      <c r="D117" s="88"/>
      <c r="E117" s="88"/>
      <c r="F117" s="88"/>
      <c r="G117" s="89"/>
      <c r="H117" s="94"/>
      <c r="I117" s="95"/>
      <c r="J117" s="150"/>
      <c r="K117" s="151"/>
      <c r="L117" s="92"/>
      <c r="M117" s="93"/>
    </row>
    <row r="118" spans="2:13" x14ac:dyDescent="0.25">
      <c r="B118" s="178"/>
      <c r="C118" s="176"/>
      <c r="D118" s="176"/>
      <c r="E118" s="176"/>
      <c r="F118" s="176"/>
      <c r="G118" s="176"/>
      <c r="H118" s="200"/>
      <c r="I118" s="200"/>
      <c r="J118" s="150"/>
      <c r="K118" s="151"/>
      <c r="L118" s="198"/>
      <c r="M118" s="199"/>
    </row>
    <row r="119" spans="2:13" x14ac:dyDescent="0.25">
      <c r="B119" s="178"/>
      <c r="C119" s="176"/>
      <c r="D119" s="176"/>
      <c r="E119" s="176"/>
      <c r="F119" s="176"/>
      <c r="G119" s="176"/>
      <c r="H119" s="200"/>
      <c r="I119" s="200"/>
      <c r="J119" s="150"/>
      <c r="K119" s="151"/>
      <c r="L119" s="99"/>
      <c r="M119" s="100"/>
    </row>
    <row r="120" spans="2:13" x14ac:dyDescent="0.25">
      <c r="B120" s="114" t="s">
        <v>36</v>
      </c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6"/>
    </row>
    <row r="121" spans="2:13" x14ac:dyDescent="0.25">
      <c r="B121" s="117" t="s">
        <v>0</v>
      </c>
      <c r="C121" s="111"/>
      <c r="D121" s="111"/>
      <c r="E121" s="111"/>
      <c r="F121" s="111"/>
      <c r="G121" s="111"/>
      <c r="H121" s="111" t="s">
        <v>59</v>
      </c>
      <c r="I121" s="111"/>
      <c r="J121" s="111" t="s">
        <v>31</v>
      </c>
      <c r="K121" s="111"/>
      <c r="L121" s="111" t="s">
        <v>32</v>
      </c>
      <c r="M121" s="118"/>
    </row>
    <row r="122" spans="2:13" x14ac:dyDescent="0.25">
      <c r="B122" s="87"/>
      <c r="C122" s="88"/>
      <c r="D122" s="88"/>
      <c r="E122" s="88"/>
      <c r="F122" s="88"/>
      <c r="G122" s="89"/>
      <c r="H122" s="94"/>
      <c r="I122" s="95"/>
      <c r="J122" s="90"/>
      <c r="K122" s="91"/>
      <c r="L122" s="112"/>
      <c r="M122" s="113"/>
    </row>
    <row r="123" spans="2:13" x14ac:dyDescent="0.25">
      <c r="B123" s="87" t="s">
        <v>179</v>
      </c>
      <c r="C123" s="88"/>
      <c r="D123" s="88"/>
      <c r="E123" s="88"/>
      <c r="F123" s="88"/>
      <c r="G123" s="89"/>
      <c r="H123" s="94">
        <v>46188</v>
      </c>
      <c r="I123" s="95"/>
      <c r="J123" s="90" t="s">
        <v>55</v>
      </c>
      <c r="K123" s="91"/>
      <c r="L123" s="112" t="s">
        <v>56</v>
      </c>
      <c r="M123" s="113"/>
    </row>
    <row r="124" spans="2:13" x14ac:dyDescent="0.25">
      <c r="B124" s="87" t="s">
        <v>180</v>
      </c>
      <c r="C124" s="88"/>
      <c r="D124" s="88"/>
      <c r="E124" s="88"/>
      <c r="F124" s="88"/>
      <c r="G124" s="89"/>
      <c r="H124" s="94">
        <v>46189</v>
      </c>
      <c r="I124" s="95"/>
      <c r="J124" s="90" t="s">
        <v>184</v>
      </c>
      <c r="K124" s="91"/>
      <c r="L124" s="112" t="s">
        <v>56</v>
      </c>
      <c r="M124" s="113"/>
    </row>
    <row r="125" spans="2:13" x14ac:dyDescent="0.25">
      <c r="B125" s="87" t="s">
        <v>181</v>
      </c>
      <c r="C125" s="88"/>
      <c r="D125" s="88"/>
      <c r="E125" s="88"/>
      <c r="F125" s="88"/>
      <c r="G125" s="89"/>
      <c r="H125" s="94">
        <v>46189</v>
      </c>
      <c r="I125" s="95"/>
      <c r="J125" s="90" t="s">
        <v>184</v>
      </c>
      <c r="K125" s="91"/>
      <c r="L125" s="92" t="s">
        <v>60</v>
      </c>
      <c r="M125" s="93"/>
    </row>
    <row r="126" spans="2:13" x14ac:dyDescent="0.25">
      <c r="B126" s="87" t="s">
        <v>182</v>
      </c>
      <c r="C126" s="88"/>
      <c r="D126" s="88"/>
      <c r="E126" s="88"/>
      <c r="F126" s="88"/>
      <c r="G126" s="89"/>
      <c r="H126" s="94">
        <v>46252</v>
      </c>
      <c r="I126" s="95"/>
      <c r="J126" s="90" t="s">
        <v>185</v>
      </c>
      <c r="K126" s="91"/>
      <c r="L126" s="92" t="s">
        <v>60</v>
      </c>
      <c r="M126" s="93"/>
    </row>
    <row r="127" spans="2:13" x14ac:dyDescent="0.25">
      <c r="B127" s="87" t="s">
        <v>183</v>
      </c>
      <c r="C127" s="88"/>
      <c r="D127" s="88"/>
      <c r="E127" s="88"/>
      <c r="F127" s="88"/>
      <c r="G127" s="89"/>
      <c r="H127" s="94">
        <v>46191</v>
      </c>
      <c r="I127" s="95"/>
      <c r="J127" s="90" t="s">
        <v>185</v>
      </c>
      <c r="K127" s="91"/>
      <c r="L127" s="92" t="s">
        <v>60</v>
      </c>
      <c r="M127" s="93"/>
    </row>
    <row r="128" spans="2:13" x14ac:dyDescent="0.25">
      <c r="B128" s="87"/>
      <c r="C128" s="88"/>
      <c r="D128" s="88"/>
      <c r="E128" s="88"/>
      <c r="F128" s="88"/>
      <c r="G128" s="89"/>
      <c r="H128" s="94"/>
      <c r="I128" s="95"/>
      <c r="J128" s="90"/>
      <c r="K128" s="91"/>
      <c r="L128" s="92"/>
      <c r="M128" s="93"/>
    </row>
    <row r="129" spans="2:13" ht="15.75" thickBot="1" x14ac:dyDescent="0.3">
      <c r="B129" s="102"/>
      <c r="C129" s="103"/>
      <c r="D129" s="103"/>
      <c r="E129" s="103"/>
      <c r="F129" s="103"/>
      <c r="G129" s="104"/>
      <c r="H129" s="105"/>
      <c r="I129" s="106"/>
      <c r="J129" s="107"/>
      <c r="K129" s="108"/>
      <c r="L129" s="109"/>
      <c r="M129" s="110"/>
    </row>
    <row r="131" spans="2:13" x14ac:dyDescent="0.25">
      <c r="B131" s="101" t="s">
        <v>6</v>
      </c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</row>
    <row r="132" spans="2:13" x14ac:dyDescent="0.25"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</row>
    <row r="133" spans="2:13" ht="15.75" thickBot="1" x14ac:dyDescent="0.3"/>
    <row r="134" spans="2:13" ht="15.75" x14ac:dyDescent="0.25">
      <c r="B134" s="122"/>
      <c r="C134" s="123"/>
      <c r="D134" s="124"/>
      <c r="E134" s="131" t="s">
        <v>7</v>
      </c>
      <c r="F134" s="132"/>
      <c r="G134" s="133"/>
      <c r="H134" s="134" t="s">
        <v>64</v>
      </c>
      <c r="I134" s="135"/>
      <c r="J134" s="135"/>
      <c r="K134" s="135"/>
      <c r="L134" s="138" t="s">
        <v>19</v>
      </c>
      <c r="M134" s="139"/>
    </row>
    <row r="135" spans="2:13" ht="15" customHeight="1" x14ac:dyDescent="0.25">
      <c r="B135" s="125"/>
      <c r="C135" s="126"/>
      <c r="D135" s="127"/>
      <c r="E135" s="96" t="s">
        <v>8</v>
      </c>
      <c r="F135" s="88"/>
      <c r="G135" s="89"/>
      <c r="H135" s="97" t="s">
        <v>11</v>
      </c>
      <c r="I135" s="98"/>
      <c r="J135" s="98"/>
      <c r="K135" s="98"/>
      <c r="L135" s="140" t="s">
        <v>174</v>
      </c>
      <c r="M135" s="141"/>
    </row>
    <row r="136" spans="2:13" ht="15" customHeight="1" x14ac:dyDescent="0.25">
      <c r="B136" s="125"/>
      <c r="C136" s="126"/>
      <c r="D136" s="127"/>
      <c r="E136" s="96" t="s">
        <v>10</v>
      </c>
      <c r="F136" s="88"/>
      <c r="G136" s="89"/>
      <c r="H136" s="97" t="s">
        <v>12</v>
      </c>
      <c r="I136" s="98"/>
      <c r="J136" s="98"/>
      <c r="K136" s="98"/>
      <c r="L136" s="142"/>
      <c r="M136" s="143"/>
    </row>
    <row r="137" spans="2:13" ht="15.75" customHeight="1" thickBot="1" x14ac:dyDescent="0.3">
      <c r="B137" s="128"/>
      <c r="C137" s="129"/>
      <c r="D137" s="130"/>
      <c r="E137" s="146" t="s">
        <v>9</v>
      </c>
      <c r="F137" s="103"/>
      <c r="G137" s="104"/>
      <c r="H137" s="136" t="s">
        <v>175</v>
      </c>
      <c r="I137" s="137"/>
      <c r="J137" s="137"/>
      <c r="K137" s="137"/>
      <c r="L137" s="144"/>
      <c r="M137" s="145"/>
    </row>
    <row r="138" spans="2:13" ht="15.75" thickBot="1" x14ac:dyDescent="0.3"/>
    <row r="139" spans="2:13" ht="18.75" x14ac:dyDescent="0.25">
      <c r="B139" s="119" t="s">
        <v>18</v>
      </c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1"/>
    </row>
    <row r="140" spans="2:13" x14ac:dyDescent="0.25">
      <c r="B140" s="147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9"/>
    </row>
    <row r="141" spans="2:13" x14ac:dyDescent="0.25">
      <c r="B141" s="147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9"/>
    </row>
    <row r="142" spans="2:13" x14ac:dyDescent="0.25">
      <c r="B142" s="8"/>
      <c r="M142" s="9"/>
    </row>
    <row r="143" spans="2:13" x14ac:dyDescent="0.25">
      <c r="B143" s="8"/>
      <c r="H143" s="57"/>
      <c r="K143" s="58"/>
      <c r="M143" s="9"/>
    </row>
    <row r="144" spans="2:13" x14ac:dyDescent="0.25">
      <c r="B144" s="8"/>
      <c r="H144" s="57"/>
      <c r="K144" s="58"/>
      <c r="M144" s="9"/>
    </row>
    <row r="145" spans="2:13" x14ac:dyDescent="0.25">
      <c r="B145" s="8"/>
      <c r="M145" s="9"/>
    </row>
    <row r="146" spans="2:13" x14ac:dyDescent="0.25">
      <c r="B146" s="8"/>
      <c r="H146" s="57"/>
      <c r="M146" s="9"/>
    </row>
    <row r="147" spans="2:13" x14ac:dyDescent="0.25">
      <c r="B147" s="8"/>
      <c r="M147" s="9"/>
    </row>
    <row r="148" spans="2:13" x14ac:dyDescent="0.25">
      <c r="B148" s="8"/>
      <c r="M148" s="9"/>
    </row>
    <row r="149" spans="2:13" x14ac:dyDescent="0.25">
      <c r="B149" s="8"/>
      <c r="M149" s="9"/>
    </row>
    <row r="150" spans="2:13" x14ac:dyDescent="0.25">
      <c r="B150" s="8"/>
      <c r="M150" s="9"/>
    </row>
    <row r="151" spans="2:13" x14ac:dyDescent="0.25">
      <c r="B151" s="8"/>
      <c r="M151" s="9"/>
    </row>
    <row r="152" spans="2:13" x14ac:dyDescent="0.25">
      <c r="B152" s="8"/>
      <c r="M152" s="9"/>
    </row>
    <row r="153" spans="2:13" x14ac:dyDescent="0.25">
      <c r="B153" s="8"/>
      <c r="M153" s="9"/>
    </row>
    <row r="154" spans="2:13" x14ac:dyDescent="0.25">
      <c r="B154" s="8"/>
      <c r="M154" s="9"/>
    </row>
    <row r="155" spans="2:13" x14ac:dyDescent="0.25">
      <c r="B155" s="8"/>
      <c r="M155" s="9"/>
    </row>
    <row r="156" spans="2:13" x14ac:dyDescent="0.25">
      <c r="B156" s="8"/>
      <c r="M156" s="9"/>
    </row>
    <row r="157" spans="2:13" x14ac:dyDescent="0.25">
      <c r="B157" s="8"/>
      <c r="M157" s="9"/>
    </row>
    <row r="158" spans="2:13" x14ac:dyDescent="0.25">
      <c r="B158" s="8"/>
      <c r="M158" s="9"/>
    </row>
    <row r="159" spans="2:13" x14ac:dyDescent="0.25">
      <c r="B159" s="8"/>
      <c r="M159" s="9"/>
    </row>
    <row r="160" spans="2:13" x14ac:dyDescent="0.25">
      <c r="B160" s="8"/>
      <c r="M160" s="9"/>
    </row>
    <row r="161" spans="2:13" x14ac:dyDescent="0.25">
      <c r="B161" s="8"/>
      <c r="M161" s="9"/>
    </row>
    <row r="162" spans="2:13" x14ac:dyDescent="0.25">
      <c r="B162" s="8"/>
      <c r="M162" s="9"/>
    </row>
    <row r="163" spans="2:13" x14ac:dyDescent="0.25">
      <c r="B163" s="8"/>
      <c r="M163" s="9"/>
    </row>
    <row r="164" spans="2:13" x14ac:dyDescent="0.25">
      <c r="B164" s="8"/>
      <c r="M164" s="9"/>
    </row>
    <row r="165" spans="2:13" x14ac:dyDescent="0.25">
      <c r="B165" s="8"/>
      <c r="M165" s="9"/>
    </row>
    <row r="166" spans="2:13" x14ac:dyDescent="0.25">
      <c r="B166" s="8"/>
      <c r="M166" s="9"/>
    </row>
    <row r="167" spans="2:13" x14ac:dyDescent="0.25">
      <c r="B167" s="8"/>
      <c r="M167" s="9"/>
    </row>
    <row r="168" spans="2:13" x14ac:dyDescent="0.25">
      <c r="B168" s="8"/>
      <c r="M168" s="9"/>
    </row>
    <row r="169" spans="2:13" ht="15" customHeight="1" x14ac:dyDescent="0.25">
      <c r="B169" s="45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7"/>
    </row>
    <row r="170" spans="2:13" ht="15" customHeight="1" x14ac:dyDescent="0.25">
      <c r="B170" s="45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7"/>
    </row>
    <row r="171" spans="2:13" x14ac:dyDescent="0.25">
      <c r="B171" s="8"/>
      <c r="M171" s="9"/>
    </row>
    <row r="172" spans="2:13" x14ac:dyDescent="0.25">
      <c r="B172" s="8"/>
      <c r="M172" s="9"/>
    </row>
    <row r="173" spans="2:13" x14ac:dyDescent="0.25">
      <c r="B173" s="8"/>
      <c r="M173" s="9"/>
    </row>
    <row r="174" spans="2:13" x14ac:dyDescent="0.25">
      <c r="B174" s="8"/>
      <c r="M174" s="9"/>
    </row>
    <row r="175" spans="2:13" x14ac:dyDescent="0.25">
      <c r="B175" s="8"/>
      <c r="M175" s="9"/>
    </row>
    <row r="176" spans="2:13" x14ac:dyDescent="0.25">
      <c r="B176" s="8"/>
      <c r="M176" s="9"/>
    </row>
    <row r="177" spans="2:13" x14ac:dyDescent="0.25">
      <c r="B177" s="8"/>
      <c r="M177" s="9"/>
    </row>
    <row r="178" spans="2:13" x14ac:dyDescent="0.25">
      <c r="B178" s="8"/>
      <c r="M178" s="9"/>
    </row>
    <row r="179" spans="2:13" x14ac:dyDescent="0.25">
      <c r="B179" s="8"/>
      <c r="M179" s="9"/>
    </row>
    <row r="180" spans="2:13" x14ac:dyDescent="0.25">
      <c r="B180" s="8"/>
      <c r="M180" s="9"/>
    </row>
    <row r="181" spans="2:13" x14ac:dyDescent="0.25">
      <c r="B181" s="8"/>
      <c r="M181" s="9"/>
    </row>
    <row r="182" spans="2:13" x14ac:dyDescent="0.25">
      <c r="B182" s="8"/>
      <c r="M182" s="9"/>
    </row>
    <row r="183" spans="2:13" x14ac:dyDescent="0.25">
      <c r="B183" s="8"/>
      <c r="M183" s="9"/>
    </row>
    <row r="184" spans="2:13" x14ac:dyDescent="0.25">
      <c r="B184" s="8"/>
      <c r="M184" s="9"/>
    </row>
    <row r="185" spans="2:13" x14ac:dyDescent="0.25">
      <c r="B185" s="8"/>
      <c r="M185" s="9"/>
    </row>
    <row r="186" spans="2:13" x14ac:dyDescent="0.25">
      <c r="B186" s="8"/>
      <c r="M186" s="9"/>
    </row>
    <row r="187" spans="2:13" x14ac:dyDescent="0.25">
      <c r="B187" s="8"/>
      <c r="M187" s="9"/>
    </row>
    <row r="188" spans="2:13" x14ac:dyDescent="0.25">
      <c r="B188" s="8"/>
      <c r="M188" s="9"/>
    </row>
    <row r="189" spans="2:13" x14ac:dyDescent="0.25">
      <c r="B189" s="8"/>
      <c r="M189" s="9"/>
    </row>
    <row r="190" spans="2:13" x14ac:dyDescent="0.25">
      <c r="B190" s="8"/>
      <c r="M190" s="9"/>
    </row>
    <row r="191" spans="2:13" x14ac:dyDescent="0.25">
      <c r="B191" s="8"/>
      <c r="M191" s="9"/>
    </row>
    <row r="192" spans="2:13" x14ac:dyDescent="0.25">
      <c r="B192" s="8"/>
      <c r="M192" s="9"/>
    </row>
    <row r="193" spans="2:13" x14ac:dyDescent="0.25">
      <c r="B193" s="8"/>
      <c r="M193" s="9"/>
    </row>
    <row r="194" spans="2:13" x14ac:dyDescent="0.25">
      <c r="B194" s="8"/>
      <c r="M194" s="9"/>
    </row>
    <row r="195" spans="2:13" x14ac:dyDescent="0.25">
      <c r="B195" s="8"/>
      <c r="M195" s="9"/>
    </row>
    <row r="196" spans="2:13" x14ac:dyDescent="0.25">
      <c r="B196" s="8"/>
      <c r="M196" s="9"/>
    </row>
    <row r="197" spans="2:13" x14ac:dyDescent="0.25">
      <c r="B197" s="8"/>
      <c r="M197" s="9"/>
    </row>
    <row r="198" spans="2:13" x14ac:dyDescent="0.25">
      <c r="B198" s="8"/>
      <c r="M198" s="9"/>
    </row>
    <row r="199" spans="2:13" ht="15" customHeight="1" x14ac:dyDescent="0.25">
      <c r="B199" s="45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7"/>
    </row>
    <row r="200" spans="2:13" ht="15.75" customHeight="1" thickBot="1" x14ac:dyDescent="0.3"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50"/>
    </row>
    <row r="202" spans="2:13" x14ac:dyDescent="0.25">
      <c r="B202" s="101" t="s">
        <v>6</v>
      </c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</row>
    <row r="203" spans="2:13" x14ac:dyDescent="0.25"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</row>
    <row r="204" spans="2:13" ht="15.75" thickBot="1" x14ac:dyDescent="0.3"/>
    <row r="205" spans="2:13" ht="15.75" x14ac:dyDescent="0.25">
      <c r="B205" s="122"/>
      <c r="C205" s="123"/>
      <c r="D205" s="124"/>
      <c r="E205" s="131" t="s">
        <v>7</v>
      </c>
      <c r="F205" s="132"/>
      <c r="G205" s="133"/>
      <c r="H205" s="134" t="s">
        <v>64</v>
      </c>
      <c r="I205" s="135"/>
      <c r="J205" s="135"/>
      <c r="K205" s="135"/>
      <c r="L205" s="138" t="s">
        <v>19</v>
      </c>
      <c r="M205" s="139"/>
    </row>
    <row r="206" spans="2:13" ht="15" customHeight="1" x14ac:dyDescent="0.25">
      <c r="B206" s="125"/>
      <c r="C206" s="126"/>
      <c r="D206" s="127"/>
      <c r="E206" s="96" t="s">
        <v>8</v>
      </c>
      <c r="F206" s="88"/>
      <c r="G206" s="89"/>
      <c r="H206" s="97" t="s">
        <v>11</v>
      </c>
      <c r="I206" s="98"/>
      <c r="J206" s="98"/>
      <c r="K206" s="98"/>
      <c r="L206" s="140" t="s">
        <v>174</v>
      </c>
      <c r="M206" s="141"/>
    </row>
    <row r="207" spans="2:13" ht="15" customHeight="1" x14ac:dyDescent="0.25">
      <c r="B207" s="125"/>
      <c r="C207" s="126"/>
      <c r="D207" s="127"/>
      <c r="E207" s="96" t="s">
        <v>10</v>
      </c>
      <c r="F207" s="88"/>
      <c r="G207" s="89"/>
      <c r="H207" s="97" t="s">
        <v>12</v>
      </c>
      <c r="I207" s="98"/>
      <c r="J207" s="98"/>
      <c r="K207" s="98"/>
      <c r="L207" s="142"/>
      <c r="M207" s="143"/>
    </row>
    <row r="208" spans="2:13" ht="15.75" customHeight="1" thickBot="1" x14ac:dyDescent="0.3">
      <c r="B208" s="128"/>
      <c r="C208" s="129"/>
      <c r="D208" s="130"/>
      <c r="E208" s="146" t="s">
        <v>9</v>
      </c>
      <c r="F208" s="103"/>
      <c r="G208" s="104"/>
      <c r="H208" s="136" t="s">
        <v>175</v>
      </c>
      <c r="I208" s="137"/>
      <c r="J208" s="137"/>
      <c r="K208" s="137"/>
      <c r="L208" s="144"/>
      <c r="M208" s="145"/>
    </row>
    <row r="209" spans="2:13" ht="15.75" thickBot="1" x14ac:dyDescent="0.3"/>
    <row r="210" spans="2:13" ht="18.75" x14ac:dyDescent="0.25">
      <c r="B210" s="119" t="s">
        <v>18</v>
      </c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1"/>
    </row>
    <row r="211" spans="2:13" ht="15" customHeight="1" x14ac:dyDescent="0.25">
      <c r="B211" s="147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9"/>
    </row>
    <row r="212" spans="2:13" ht="15" customHeight="1" x14ac:dyDescent="0.25">
      <c r="B212" s="147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9"/>
    </row>
    <row r="213" spans="2:13" ht="15" customHeight="1" x14ac:dyDescent="0.25">
      <c r="B213" s="8"/>
      <c r="M213" s="9"/>
    </row>
    <row r="214" spans="2:13" x14ac:dyDescent="0.25">
      <c r="B214" s="8"/>
      <c r="H214" s="57"/>
      <c r="K214" s="58"/>
      <c r="M214" s="9"/>
    </row>
    <row r="215" spans="2:13" x14ac:dyDescent="0.25">
      <c r="B215" s="8"/>
      <c r="H215" s="57"/>
      <c r="K215" s="58"/>
      <c r="M215" s="9"/>
    </row>
    <row r="216" spans="2:13" x14ac:dyDescent="0.25">
      <c r="B216" s="8"/>
      <c r="M216" s="9"/>
    </row>
    <row r="217" spans="2:13" x14ac:dyDescent="0.25">
      <c r="B217" s="8"/>
      <c r="H217" s="57"/>
      <c r="M217" s="9"/>
    </row>
    <row r="218" spans="2:13" x14ac:dyDescent="0.25">
      <c r="B218" s="8"/>
      <c r="M218" s="9"/>
    </row>
    <row r="219" spans="2:13" x14ac:dyDescent="0.25">
      <c r="B219" s="8"/>
      <c r="M219" s="9"/>
    </row>
    <row r="220" spans="2:13" x14ac:dyDescent="0.25">
      <c r="B220" s="8"/>
      <c r="M220" s="9"/>
    </row>
    <row r="221" spans="2:13" x14ac:dyDescent="0.25">
      <c r="B221" s="8"/>
      <c r="M221" s="9"/>
    </row>
    <row r="222" spans="2:13" x14ac:dyDescent="0.25">
      <c r="B222" s="8"/>
      <c r="M222" s="9"/>
    </row>
    <row r="223" spans="2:13" x14ac:dyDescent="0.25">
      <c r="B223" s="8"/>
      <c r="M223" s="9"/>
    </row>
    <row r="224" spans="2:13" x14ac:dyDescent="0.25">
      <c r="B224" s="8"/>
      <c r="M224" s="9"/>
    </row>
    <row r="225" spans="2:13" x14ac:dyDescent="0.25">
      <c r="B225" s="8"/>
      <c r="M225" s="9"/>
    </row>
    <row r="226" spans="2:13" x14ac:dyDescent="0.25">
      <c r="B226" s="8"/>
      <c r="M226" s="9"/>
    </row>
    <row r="227" spans="2:13" x14ac:dyDescent="0.25">
      <c r="B227" s="8"/>
      <c r="M227" s="9"/>
    </row>
    <row r="228" spans="2:13" x14ac:dyDescent="0.25">
      <c r="B228" s="8"/>
      <c r="M228" s="9"/>
    </row>
    <row r="229" spans="2:13" x14ac:dyDescent="0.25">
      <c r="B229" s="8"/>
      <c r="M229" s="9"/>
    </row>
    <row r="230" spans="2:13" x14ac:dyDescent="0.25">
      <c r="B230" s="8"/>
      <c r="M230" s="9"/>
    </row>
    <row r="231" spans="2:13" x14ac:dyDescent="0.25">
      <c r="B231" s="8"/>
      <c r="M231" s="9"/>
    </row>
    <row r="232" spans="2:13" x14ac:dyDescent="0.25">
      <c r="B232" s="8"/>
      <c r="M232" s="9"/>
    </row>
    <row r="233" spans="2:13" x14ac:dyDescent="0.25">
      <c r="B233" s="8"/>
      <c r="M233" s="9"/>
    </row>
    <row r="234" spans="2:13" x14ac:dyDescent="0.25">
      <c r="B234" s="8"/>
      <c r="M234" s="9"/>
    </row>
    <row r="235" spans="2:13" x14ac:dyDescent="0.25">
      <c r="B235" s="8"/>
      <c r="M235" s="9"/>
    </row>
    <row r="236" spans="2:13" x14ac:dyDescent="0.25">
      <c r="B236" s="8"/>
      <c r="M236" s="9"/>
    </row>
    <row r="237" spans="2:13" x14ac:dyDescent="0.25">
      <c r="B237" s="8"/>
      <c r="M237" s="9"/>
    </row>
    <row r="238" spans="2:13" x14ac:dyDescent="0.25">
      <c r="B238" s="8"/>
      <c r="M238" s="9"/>
    </row>
    <row r="239" spans="2:13" x14ac:dyDescent="0.25">
      <c r="B239" s="8"/>
      <c r="M239" s="9"/>
    </row>
    <row r="240" spans="2:13" ht="15" customHeight="1" x14ac:dyDescent="0.25">
      <c r="B240" s="45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7"/>
    </row>
    <row r="241" spans="2:13" ht="15" customHeight="1" x14ac:dyDescent="0.25">
      <c r="B241" s="45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7"/>
    </row>
    <row r="242" spans="2:13" x14ac:dyDescent="0.25">
      <c r="B242" s="8"/>
      <c r="M242" s="9"/>
    </row>
    <row r="243" spans="2:13" x14ac:dyDescent="0.25">
      <c r="B243" s="8"/>
      <c r="M243" s="9"/>
    </row>
    <row r="244" spans="2:13" x14ac:dyDescent="0.25">
      <c r="B244" s="8"/>
      <c r="M244" s="9"/>
    </row>
    <row r="245" spans="2:13" x14ac:dyDescent="0.25">
      <c r="B245" s="8"/>
      <c r="M245" s="9"/>
    </row>
    <row r="246" spans="2:13" x14ac:dyDescent="0.25">
      <c r="B246" s="8"/>
      <c r="M246" s="9"/>
    </row>
    <row r="247" spans="2:13" x14ac:dyDescent="0.25">
      <c r="B247" s="8"/>
      <c r="M247" s="9"/>
    </row>
    <row r="248" spans="2:13" ht="15" customHeight="1" x14ac:dyDescent="0.25">
      <c r="B248" s="8"/>
      <c r="M248" s="9"/>
    </row>
    <row r="249" spans="2:13" ht="15" customHeight="1" x14ac:dyDescent="0.25">
      <c r="B249" s="8"/>
      <c r="M249" s="9"/>
    </row>
    <row r="250" spans="2:13" x14ac:dyDescent="0.25">
      <c r="B250" s="8"/>
      <c r="M250" s="9"/>
    </row>
    <row r="251" spans="2:13" x14ac:dyDescent="0.25">
      <c r="B251" s="8"/>
      <c r="M251" s="9"/>
    </row>
    <row r="252" spans="2:13" x14ac:dyDescent="0.25">
      <c r="B252" s="8"/>
      <c r="M252" s="9"/>
    </row>
    <row r="253" spans="2:13" x14ac:dyDescent="0.25">
      <c r="B253" s="8"/>
      <c r="M253" s="9"/>
    </row>
    <row r="254" spans="2:13" x14ac:dyDescent="0.25">
      <c r="B254" s="8"/>
      <c r="M254" s="9"/>
    </row>
    <row r="255" spans="2:13" x14ac:dyDescent="0.25">
      <c r="B255" s="8"/>
      <c r="M255" s="9"/>
    </row>
    <row r="256" spans="2:13" x14ac:dyDescent="0.25">
      <c r="B256" s="8"/>
      <c r="M256" s="9"/>
    </row>
    <row r="257" spans="2:13" x14ac:dyDescent="0.25">
      <c r="B257" s="8"/>
      <c r="M257" s="9"/>
    </row>
    <row r="258" spans="2:13" x14ac:dyDescent="0.25">
      <c r="B258" s="8"/>
      <c r="M258" s="9"/>
    </row>
    <row r="259" spans="2:13" x14ac:dyDescent="0.25">
      <c r="B259" s="8"/>
      <c r="M259" s="9"/>
    </row>
    <row r="260" spans="2:13" x14ac:dyDescent="0.25">
      <c r="B260" s="8"/>
      <c r="M260" s="9"/>
    </row>
    <row r="261" spans="2:13" x14ac:dyDescent="0.25">
      <c r="B261" s="8"/>
      <c r="M261" s="9"/>
    </row>
    <row r="262" spans="2:13" x14ac:dyDescent="0.25">
      <c r="B262" s="8"/>
      <c r="M262" s="9"/>
    </row>
    <row r="263" spans="2:13" x14ac:dyDescent="0.25">
      <c r="B263" s="8"/>
      <c r="M263" s="9"/>
    </row>
    <row r="264" spans="2:13" x14ac:dyDescent="0.25">
      <c r="B264" s="8"/>
      <c r="M264" s="9"/>
    </row>
    <row r="265" spans="2:13" x14ac:dyDescent="0.25">
      <c r="B265" s="8"/>
      <c r="M265" s="9"/>
    </row>
    <row r="266" spans="2:13" x14ac:dyDescent="0.25">
      <c r="B266" s="8"/>
      <c r="M266" s="9"/>
    </row>
    <row r="267" spans="2:13" ht="15" customHeight="1" x14ac:dyDescent="0.25">
      <c r="B267" s="8"/>
      <c r="M267" s="9"/>
    </row>
    <row r="268" spans="2:13" ht="15" customHeight="1" x14ac:dyDescent="0.25">
      <c r="B268" s="8"/>
      <c r="M268" s="9"/>
    </row>
    <row r="269" spans="2:13" x14ac:dyDescent="0.25">
      <c r="B269" s="8"/>
      <c r="M269" s="9"/>
    </row>
    <row r="270" spans="2:13" ht="15" customHeight="1" x14ac:dyDescent="0.25">
      <c r="B270" s="45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7"/>
    </row>
    <row r="271" spans="2:13" ht="15.75" customHeight="1" thickBot="1" x14ac:dyDescent="0.3">
      <c r="B271" s="48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50"/>
    </row>
  </sheetData>
  <mergeCells count="225">
    <mergeCell ref="B119:G119"/>
    <mergeCell ref="H119:I119"/>
    <mergeCell ref="J119:K119"/>
    <mergeCell ref="B117:G117"/>
    <mergeCell ref="J117:K117"/>
    <mergeCell ref="J114:K114"/>
    <mergeCell ref="B211:M212"/>
    <mergeCell ref="B118:G118"/>
    <mergeCell ref="H118:I118"/>
    <mergeCell ref="B68:M68"/>
    <mergeCell ref="C95:F95"/>
    <mergeCell ref="K97:L97"/>
    <mergeCell ref="B112:M112"/>
    <mergeCell ref="B111:M111"/>
    <mergeCell ref="H37:I37"/>
    <mergeCell ref="J37:K37"/>
    <mergeCell ref="L37:M37"/>
    <mergeCell ref="J116:K116"/>
    <mergeCell ref="L116:M116"/>
    <mergeCell ref="J44:M44"/>
    <mergeCell ref="J51:M51"/>
    <mergeCell ref="J47:M47"/>
    <mergeCell ref="L114:M114"/>
    <mergeCell ref="H63:K63"/>
    <mergeCell ref="L63:M63"/>
    <mergeCell ref="H64:K64"/>
    <mergeCell ref="L64:M66"/>
    <mergeCell ref="J54:M54"/>
    <mergeCell ref="J49:M49"/>
    <mergeCell ref="H66:K66"/>
    <mergeCell ref="B60:M61"/>
    <mergeCell ref="B63:D66"/>
    <mergeCell ref="E63:G63"/>
    <mergeCell ref="E66:G66"/>
    <mergeCell ref="J50:M50"/>
    <mergeCell ref="J48:M48"/>
    <mergeCell ref="J55:M55"/>
    <mergeCell ref="J56:M56"/>
    <mergeCell ref="J57:M57"/>
    <mergeCell ref="B35:G35"/>
    <mergeCell ref="B36:G36"/>
    <mergeCell ref="B37:G37"/>
    <mergeCell ref="H36:I36"/>
    <mergeCell ref="J36:K36"/>
    <mergeCell ref="L36:M36"/>
    <mergeCell ref="H35:I35"/>
    <mergeCell ref="J35:K35"/>
    <mergeCell ref="L35:M35"/>
    <mergeCell ref="H22:M22"/>
    <mergeCell ref="B22:G22"/>
    <mergeCell ref="J33:K33"/>
    <mergeCell ref="H33:I33"/>
    <mergeCell ref="B23:G23"/>
    <mergeCell ref="H23:M23"/>
    <mergeCell ref="E65:G65"/>
    <mergeCell ref="H65:K65"/>
    <mergeCell ref="J52:M52"/>
    <mergeCell ref="J53:M53"/>
    <mergeCell ref="E64:G64"/>
    <mergeCell ref="J46:M46"/>
    <mergeCell ref="B2:M3"/>
    <mergeCell ref="L5:M5"/>
    <mergeCell ref="H5:K5"/>
    <mergeCell ref="H6:K6"/>
    <mergeCell ref="H7:K7"/>
    <mergeCell ref="H8:K8"/>
    <mergeCell ref="B5:D8"/>
    <mergeCell ref="E5:G5"/>
    <mergeCell ref="E6:G6"/>
    <mergeCell ref="E7:G7"/>
    <mergeCell ref="E8:G8"/>
    <mergeCell ref="L6:M8"/>
    <mergeCell ref="B24:G24"/>
    <mergeCell ref="H24:M24"/>
    <mergeCell ref="B25:G25"/>
    <mergeCell ref="H25:M25"/>
    <mergeCell ref="B34:G34"/>
    <mergeCell ref="B30:G30"/>
    <mergeCell ref="H30:M30"/>
    <mergeCell ref="H31:M31"/>
    <mergeCell ref="B31:G31"/>
    <mergeCell ref="L33:M33"/>
    <mergeCell ref="B33:G33"/>
    <mergeCell ref="H34:I34"/>
    <mergeCell ref="J34:K34"/>
    <mergeCell ref="L34:M34"/>
    <mergeCell ref="B26:G26"/>
    <mergeCell ref="H26:M26"/>
    <mergeCell ref="B27:G27"/>
    <mergeCell ref="H27:M27"/>
    <mergeCell ref="B28:G28"/>
    <mergeCell ref="H28:M28"/>
    <mergeCell ref="B29:G29"/>
    <mergeCell ref="H29:M29"/>
    <mergeCell ref="H21:M21"/>
    <mergeCell ref="B10:M10"/>
    <mergeCell ref="H17:M17"/>
    <mergeCell ref="B18:G18"/>
    <mergeCell ref="H15:M15"/>
    <mergeCell ref="B19:G19"/>
    <mergeCell ref="H19:M19"/>
    <mergeCell ref="B20:G20"/>
    <mergeCell ref="B11:G11"/>
    <mergeCell ref="H11:M11"/>
    <mergeCell ref="B12:G12"/>
    <mergeCell ref="H12:M12"/>
    <mergeCell ref="B13:G13"/>
    <mergeCell ref="H13:M13"/>
    <mergeCell ref="B14:G14"/>
    <mergeCell ref="H14:M14"/>
    <mergeCell ref="B15:G15"/>
    <mergeCell ref="B16:G16"/>
    <mergeCell ref="H16:M16"/>
    <mergeCell ref="B17:G17"/>
    <mergeCell ref="H20:M20"/>
    <mergeCell ref="B21:G21"/>
    <mergeCell ref="H18:M18"/>
    <mergeCell ref="J118:K118"/>
    <mergeCell ref="C96:F96"/>
    <mergeCell ref="G95:J95"/>
    <mergeCell ref="G96:J96"/>
    <mergeCell ref="K95:L95"/>
    <mergeCell ref="K96:L96"/>
    <mergeCell ref="C97:F97"/>
    <mergeCell ref="G97:J97"/>
    <mergeCell ref="L117:M117"/>
    <mergeCell ref="B116:G116"/>
    <mergeCell ref="H116:I116"/>
    <mergeCell ref="B115:G115"/>
    <mergeCell ref="H115:I115"/>
    <mergeCell ref="J115:K115"/>
    <mergeCell ref="L115:M115"/>
    <mergeCell ref="B113:G113"/>
    <mergeCell ref="H113:I113"/>
    <mergeCell ref="J113:K113"/>
    <mergeCell ref="L113:M113"/>
    <mergeCell ref="H117:I117"/>
    <mergeCell ref="L118:M118"/>
    <mergeCell ref="B114:G114"/>
    <mergeCell ref="H114:I114"/>
    <mergeCell ref="B210:M210"/>
    <mergeCell ref="B202:M203"/>
    <mergeCell ref="B205:D208"/>
    <mergeCell ref="E205:G205"/>
    <mergeCell ref="H205:K205"/>
    <mergeCell ref="H137:K137"/>
    <mergeCell ref="E134:G134"/>
    <mergeCell ref="H134:K134"/>
    <mergeCell ref="L134:M134"/>
    <mergeCell ref="L135:M137"/>
    <mergeCell ref="H208:K208"/>
    <mergeCell ref="E137:G137"/>
    <mergeCell ref="L205:M205"/>
    <mergeCell ref="E206:G206"/>
    <mergeCell ref="H206:K206"/>
    <mergeCell ref="L206:M208"/>
    <mergeCell ref="B139:M139"/>
    <mergeCell ref="B134:D137"/>
    <mergeCell ref="E136:G136"/>
    <mergeCell ref="H136:K136"/>
    <mergeCell ref="E207:G207"/>
    <mergeCell ref="H207:K207"/>
    <mergeCell ref="E208:G208"/>
    <mergeCell ref="B140:M141"/>
    <mergeCell ref="L119:M119"/>
    <mergeCell ref="B131:M132"/>
    <mergeCell ref="H127:I127"/>
    <mergeCell ref="J127:K127"/>
    <mergeCell ref="L127:M127"/>
    <mergeCell ref="B129:G129"/>
    <mergeCell ref="H129:I129"/>
    <mergeCell ref="J129:K129"/>
    <mergeCell ref="L129:M129"/>
    <mergeCell ref="H121:I121"/>
    <mergeCell ref="J121:K121"/>
    <mergeCell ref="L122:M122"/>
    <mergeCell ref="L123:M123"/>
    <mergeCell ref="L126:M126"/>
    <mergeCell ref="H123:I123"/>
    <mergeCell ref="H126:I126"/>
    <mergeCell ref="B120:M120"/>
    <mergeCell ref="B121:G121"/>
    <mergeCell ref="L121:M121"/>
    <mergeCell ref="H122:I122"/>
    <mergeCell ref="B126:G126"/>
    <mergeCell ref="B124:G124"/>
    <mergeCell ref="H124:I124"/>
    <mergeCell ref="J124:K124"/>
    <mergeCell ref="B128:G128"/>
    <mergeCell ref="J128:K128"/>
    <mergeCell ref="L128:M128"/>
    <mergeCell ref="H125:I125"/>
    <mergeCell ref="H128:I128"/>
    <mergeCell ref="E135:G135"/>
    <mergeCell ref="H135:K135"/>
    <mergeCell ref="J122:K122"/>
    <mergeCell ref="J123:K123"/>
    <mergeCell ref="J126:K126"/>
    <mergeCell ref="B127:G127"/>
    <mergeCell ref="L124:M124"/>
    <mergeCell ref="B125:G125"/>
    <mergeCell ref="J125:K125"/>
    <mergeCell ref="L125:M125"/>
    <mergeCell ref="B122:G122"/>
    <mergeCell ref="B123:G123"/>
    <mergeCell ref="B38:G38"/>
    <mergeCell ref="H38:I38"/>
    <mergeCell ref="J38:K38"/>
    <mergeCell ref="L38:M38"/>
    <mergeCell ref="B39:G39"/>
    <mergeCell ref="H39:I39"/>
    <mergeCell ref="J39:K39"/>
    <mergeCell ref="L39:M39"/>
    <mergeCell ref="B42:G42"/>
    <mergeCell ref="H42:I42"/>
    <mergeCell ref="J42:K42"/>
    <mergeCell ref="L42:M42"/>
    <mergeCell ref="B40:G40"/>
    <mergeCell ref="H40:I40"/>
    <mergeCell ref="J40:K40"/>
    <mergeCell ref="L40:M40"/>
    <mergeCell ref="B41:G41"/>
    <mergeCell ref="H41:I41"/>
    <mergeCell ref="J41:K41"/>
    <mergeCell ref="L41:M41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1B46-05C3-4224-B5B9-2B4F8B81B612}">
  <dimension ref="B2:H113"/>
  <sheetViews>
    <sheetView topLeftCell="C1" zoomScaleNormal="100" workbookViewId="0">
      <pane ySplit="4" topLeftCell="A5" activePane="bottomLeft" state="frozen"/>
      <selection pane="bottomLeft" activeCell="F10" sqref="F10"/>
    </sheetView>
  </sheetViews>
  <sheetFormatPr baseColWidth="10" defaultRowHeight="15" outlineLevelRow="1" x14ac:dyDescent="0.25"/>
  <cols>
    <col min="1" max="1" width="5.28515625" style="1" customWidth="1"/>
    <col min="2" max="2" width="41.5703125" style="1" customWidth="1"/>
    <col min="3" max="3" width="16.42578125" style="1" customWidth="1"/>
    <col min="4" max="4" width="4" style="1" customWidth="1"/>
    <col min="5" max="5" width="18.28515625" style="36" customWidth="1"/>
    <col min="6" max="6" width="18.28515625" style="66" customWidth="1"/>
    <col min="7" max="8" width="18.28515625" style="33" customWidth="1"/>
    <col min="9" max="9" width="3.140625" style="1" customWidth="1"/>
    <col min="10" max="16384" width="11.42578125" style="1"/>
  </cols>
  <sheetData>
    <row r="2" spans="2:8" ht="22.5" customHeight="1" x14ac:dyDescent="0.25">
      <c r="E2" s="35" t="s">
        <v>38</v>
      </c>
      <c r="F2" s="70" t="s">
        <v>39</v>
      </c>
      <c r="G2" s="34" t="s">
        <v>40</v>
      </c>
      <c r="H2" s="34" t="s">
        <v>41</v>
      </c>
    </row>
    <row r="4" spans="2:8" x14ac:dyDescent="0.25">
      <c r="B4" s="42" t="s">
        <v>64</v>
      </c>
      <c r="C4" s="37">
        <f>+C6+C19+C23+C27+C35+C45+C76+C100+C112+C49+C96+C54</f>
        <v>1775093.0400000005</v>
      </c>
      <c r="E4" s="38">
        <f>+G4/C4</f>
        <v>0.35489488748150338</v>
      </c>
      <c r="F4" s="38">
        <f>+H4/C4</f>
        <v>0.31559854406279453</v>
      </c>
      <c r="G4" s="64">
        <f>+G6+G19+G23+G27+G35+G45+G76+G100+G112+G49+G96+G54</f>
        <v>629971.44469999999</v>
      </c>
      <c r="H4" s="64">
        <f>+H6+H19+H23+H27+H35+H45+H76+H100+H112+H49+H96+H54</f>
        <v>560216.7790000001</v>
      </c>
    </row>
    <row r="6" spans="2:8" s="57" customFormat="1" x14ac:dyDescent="0.25">
      <c r="B6" s="62" t="s">
        <v>65</v>
      </c>
      <c r="C6" s="63">
        <v>136849.72</v>
      </c>
      <c r="E6" s="39">
        <f>+G6/C6</f>
        <v>1.0000000000000002</v>
      </c>
      <c r="F6" s="65">
        <f>+H6/C6</f>
        <v>0.95038868914017516</v>
      </c>
      <c r="G6" s="40">
        <f>SUM(G7:G18)</f>
        <v>136849.72000000003</v>
      </c>
      <c r="H6" s="40">
        <f>SUM(H7:H18)</f>
        <v>130060.42600000001</v>
      </c>
    </row>
    <row r="7" spans="2:8" outlineLevel="1" x14ac:dyDescent="0.25">
      <c r="B7" s="1" t="s">
        <v>66</v>
      </c>
      <c r="C7" s="32">
        <v>610.38</v>
      </c>
      <c r="E7" s="36">
        <v>1</v>
      </c>
      <c r="F7" s="66">
        <v>1</v>
      </c>
      <c r="G7" s="41">
        <f t="shared" ref="G7" si="0">+E7*C7</f>
        <v>610.38</v>
      </c>
      <c r="H7" s="41">
        <f t="shared" ref="H7" si="1">+F7*C7</f>
        <v>610.38</v>
      </c>
    </row>
    <row r="8" spans="2:8" outlineLevel="1" x14ac:dyDescent="0.25">
      <c r="B8" s="1" t="s">
        <v>67</v>
      </c>
      <c r="C8" s="32">
        <v>2041.22</v>
      </c>
      <c r="E8" s="36">
        <v>1</v>
      </c>
      <c r="F8" s="66">
        <v>1</v>
      </c>
      <c r="G8" s="41">
        <f t="shared" ref="G8:G18" si="2">+E8*C8</f>
        <v>2041.22</v>
      </c>
      <c r="H8" s="41">
        <f t="shared" ref="H8:H18" si="3">+F8*C8</f>
        <v>2041.22</v>
      </c>
    </row>
    <row r="9" spans="2:8" outlineLevel="1" x14ac:dyDescent="0.25">
      <c r="B9" s="1" t="s">
        <v>68</v>
      </c>
      <c r="C9" s="32">
        <v>1243.92</v>
      </c>
      <c r="E9" s="36">
        <v>1</v>
      </c>
      <c r="F9" s="66">
        <v>1</v>
      </c>
      <c r="G9" s="41">
        <f t="shared" si="2"/>
        <v>1243.92</v>
      </c>
      <c r="H9" s="41">
        <f t="shared" si="3"/>
        <v>1243.92</v>
      </c>
    </row>
    <row r="10" spans="2:8" outlineLevel="1" x14ac:dyDescent="0.25">
      <c r="B10" s="1" t="s">
        <v>69</v>
      </c>
      <c r="C10" s="32">
        <v>7543.66</v>
      </c>
      <c r="E10" s="36">
        <v>1</v>
      </c>
      <c r="F10" s="66">
        <v>0.1</v>
      </c>
      <c r="G10" s="41">
        <f t="shared" si="2"/>
        <v>7543.66</v>
      </c>
      <c r="H10" s="41">
        <f t="shared" si="3"/>
        <v>754.36599999999999</v>
      </c>
    </row>
    <row r="11" spans="2:8" outlineLevel="1" x14ac:dyDescent="0.25">
      <c r="B11" s="1" t="s">
        <v>70</v>
      </c>
      <c r="C11" s="32">
        <v>32039.22</v>
      </c>
      <c r="E11" s="36">
        <v>1</v>
      </c>
      <c r="F11" s="66">
        <v>1</v>
      </c>
      <c r="G11" s="41">
        <f t="shared" si="2"/>
        <v>32039.22</v>
      </c>
      <c r="H11" s="41">
        <f t="shared" si="3"/>
        <v>32039.22</v>
      </c>
    </row>
    <row r="12" spans="2:8" outlineLevel="1" x14ac:dyDescent="0.25">
      <c r="B12" s="1" t="s">
        <v>71</v>
      </c>
      <c r="C12" s="32">
        <v>25502.76</v>
      </c>
      <c r="E12" s="36">
        <v>1</v>
      </c>
      <c r="F12" s="66">
        <v>1</v>
      </c>
      <c r="G12" s="41">
        <f t="shared" si="2"/>
        <v>25502.76</v>
      </c>
      <c r="H12" s="41">
        <f t="shared" si="3"/>
        <v>25502.76</v>
      </c>
    </row>
    <row r="13" spans="2:8" outlineLevel="1" x14ac:dyDescent="0.25">
      <c r="B13" s="1" t="s">
        <v>72</v>
      </c>
      <c r="C13" s="32">
        <v>13910.22</v>
      </c>
      <c r="E13" s="36">
        <v>1</v>
      </c>
      <c r="F13" s="66">
        <v>1</v>
      </c>
      <c r="G13" s="41">
        <f t="shared" si="2"/>
        <v>13910.22</v>
      </c>
      <c r="H13" s="41">
        <f t="shared" si="3"/>
        <v>13910.22</v>
      </c>
    </row>
    <row r="14" spans="2:8" outlineLevel="1" x14ac:dyDescent="0.25">
      <c r="B14" s="1" t="s">
        <v>73</v>
      </c>
      <c r="C14" s="32">
        <v>30086.75</v>
      </c>
      <c r="E14" s="36">
        <v>1</v>
      </c>
      <c r="F14" s="66">
        <v>1</v>
      </c>
      <c r="G14" s="41">
        <f t="shared" si="2"/>
        <v>30086.75</v>
      </c>
      <c r="H14" s="41">
        <f t="shared" si="3"/>
        <v>30086.75</v>
      </c>
    </row>
    <row r="15" spans="2:8" outlineLevel="1" x14ac:dyDescent="0.25">
      <c r="B15" s="1" t="s">
        <v>74</v>
      </c>
      <c r="C15" s="32">
        <v>2281.08</v>
      </c>
      <c r="E15" s="36">
        <v>1</v>
      </c>
      <c r="F15" s="66">
        <v>1</v>
      </c>
      <c r="G15" s="41">
        <f t="shared" si="2"/>
        <v>2281.08</v>
      </c>
      <c r="H15" s="41">
        <f t="shared" si="3"/>
        <v>2281.08</v>
      </c>
    </row>
    <row r="16" spans="2:8" outlineLevel="1" x14ac:dyDescent="0.25">
      <c r="B16" s="1" t="s">
        <v>75</v>
      </c>
      <c r="C16" s="32">
        <v>271.99</v>
      </c>
      <c r="E16" s="36">
        <v>1</v>
      </c>
      <c r="F16" s="66">
        <v>1</v>
      </c>
      <c r="G16" s="41">
        <f t="shared" si="2"/>
        <v>271.99</v>
      </c>
      <c r="H16" s="41">
        <f t="shared" si="3"/>
        <v>271.99</v>
      </c>
    </row>
    <row r="17" spans="2:8" outlineLevel="1" x14ac:dyDescent="0.25">
      <c r="B17" s="1" t="s">
        <v>76</v>
      </c>
      <c r="C17" s="32">
        <v>8527.41</v>
      </c>
      <c r="E17" s="36">
        <v>1</v>
      </c>
      <c r="F17" s="66">
        <v>1</v>
      </c>
      <c r="G17" s="41">
        <f t="shared" si="2"/>
        <v>8527.41</v>
      </c>
      <c r="H17" s="41">
        <f t="shared" si="3"/>
        <v>8527.41</v>
      </c>
    </row>
    <row r="18" spans="2:8" outlineLevel="1" x14ac:dyDescent="0.25">
      <c r="B18" s="1" t="s">
        <v>77</v>
      </c>
      <c r="C18" s="32">
        <v>12791.11</v>
      </c>
      <c r="E18" s="36">
        <v>1</v>
      </c>
      <c r="F18" s="66">
        <v>1</v>
      </c>
      <c r="G18" s="41">
        <f t="shared" si="2"/>
        <v>12791.11</v>
      </c>
      <c r="H18" s="41">
        <f t="shared" si="3"/>
        <v>12791.11</v>
      </c>
    </row>
    <row r="19" spans="2:8" s="57" customFormat="1" x14ac:dyDescent="0.25">
      <c r="B19" s="62" t="s">
        <v>78</v>
      </c>
      <c r="C19" s="63">
        <v>141737.89000000001</v>
      </c>
      <c r="E19" s="39">
        <f>+G19/C19</f>
        <v>0.89989874972740169</v>
      </c>
      <c r="F19" s="65">
        <f>+H19/C19</f>
        <v>0.66180273319999328</v>
      </c>
      <c r="G19" s="40">
        <f>SUM(G20:G22)</f>
        <v>127549.75</v>
      </c>
      <c r="H19" s="40">
        <f>SUM(H20:H22)</f>
        <v>93802.523000000001</v>
      </c>
    </row>
    <row r="20" spans="2:8" outlineLevel="1" x14ac:dyDescent="0.25">
      <c r="B20" s="1" t="s">
        <v>79</v>
      </c>
      <c r="C20" s="32">
        <v>109244.69</v>
      </c>
      <c r="E20" s="36">
        <v>1</v>
      </c>
      <c r="F20" s="66">
        <v>0.8</v>
      </c>
      <c r="G20" s="41">
        <f t="shared" ref="G20:G22" si="4">+E20*C20</f>
        <v>109244.69</v>
      </c>
      <c r="H20" s="41">
        <f t="shared" ref="H20:H22" si="5">+F20*C20</f>
        <v>87395.752000000008</v>
      </c>
    </row>
    <row r="21" spans="2:8" outlineLevel="1" x14ac:dyDescent="0.25">
      <c r="B21" s="1" t="s">
        <v>80</v>
      </c>
      <c r="C21" s="32">
        <v>14188.14</v>
      </c>
      <c r="E21" s="36">
        <v>0</v>
      </c>
      <c r="F21" s="66">
        <v>0</v>
      </c>
      <c r="G21" s="41">
        <f t="shared" si="4"/>
        <v>0</v>
      </c>
      <c r="H21" s="41">
        <f t="shared" si="5"/>
        <v>0</v>
      </c>
    </row>
    <row r="22" spans="2:8" outlineLevel="1" x14ac:dyDescent="0.25">
      <c r="B22" s="1" t="s">
        <v>81</v>
      </c>
      <c r="C22" s="32">
        <v>18305.060000000001</v>
      </c>
      <c r="E22" s="36">
        <v>1</v>
      </c>
      <c r="F22" s="66">
        <v>0.35</v>
      </c>
      <c r="G22" s="41">
        <f t="shared" si="4"/>
        <v>18305.060000000001</v>
      </c>
      <c r="H22" s="41">
        <f t="shared" si="5"/>
        <v>6406.7709999999997</v>
      </c>
    </row>
    <row r="23" spans="2:8" s="57" customFormat="1" x14ac:dyDescent="0.25">
      <c r="B23" s="62" t="s">
        <v>82</v>
      </c>
      <c r="C23" s="63">
        <v>140350.78</v>
      </c>
      <c r="E23" s="39">
        <f>+G23/C23</f>
        <v>0</v>
      </c>
      <c r="F23" s="65">
        <f>+H23/C23</f>
        <v>0</v>
      </c>
      <c r="G23" s="40">
        <f>SUM(G24:G26)</f>
        <v>0</v>
      </c>
      <c r="H23" s="40">
        <f>SUM(H24:H26)</f>
        <v>0</v>
      </c>
    </row>
    <row r="24" spans="2:8" outlineLevel="1" x14ac:dyDescent="0.25">
      <c r="B24" s="1" t="s">
        <v>83</v>
      </c>
      <c r="C24" s="32">
        <v>73737.34</v>
      </c>
      <c r="E24" s="36">
        <v>0</v>
      </c>
      <c r="F24" s="66">
        <v>0</v>
      </c>
      <c r="G24" s="41">
        <f t="shared" ref="G24:G26" si="6">+E24*C24</f>
        <v>0</v>
      </c>
      <c r="H24" s="41">
        <f t="shared" ref="H24:H26" si="7">+F24*C24</f>
        <v>0</v>
      </c>
    </row>
    <row r="25" spans="2:8" outlineLevel="1" x14ac:dyDescent="0.25">
      <c r="B25" s="1" t="s">
        <v>84</v>
      </c>
      <c r="C25" s="32">
        <v>24280.18</v>
      </c>
      <c r="E25" s="36">
        <v>0</v>
      </c>
      <c r="F25" s="66">
        <v>0</v>
      </c>
      <c r="G25" s="41">
        <f t="shared" si="6"/>
        <v>0</v>
      </c>
      <c r="H25" s="41">
        <f t="shared" si="7"/>
        <v>0</v>
      </c>
    </row>
    <row r="26" spans="2:8" outlineLevel="1" x14ac:dyDescent="0.25">
      <c r="B26" s="1" t="s">
        <v>85</v>
      </c>
      <c r="C26" s="32">
        <v>42333.26</v>
      </c>
      <c r="E26" s="36">
        <v>0</v>
      </c>
      <c r="F26" s="66">
        <v>0</v>
      </c>
      <c r="G26" s="41">
        <f t="shared" si="6"/>
        <v>0</v>
      </c>
      <c r="H26" s="41">
        <f t="shared" si="7"/>
        <v>0</v>
      </c>
    </row>
    <row r="27" spans="2:8" s="57" customFormat="1" x14ac:dyDescent="0.25">
      <c r="B27" s="62" t="s">
        <v>86</v>
      </c>
      <c r="C27" s="63">
        <v>199033.2</v>
      </c>
      <c r="E27" s="39">
        <f>+G27/C27</f>
        <v>0</v>
      </c>
      <c r="F27" s="65">
        <f>+H27/C27</f>
        <v>0</v>
      </c>
      <c r="G27" s="40">
        <f>SUM(G28:G34)</f>
        <v>0</v>
      </c>
      <c r="H27" s="40">
        <f>SUM(H28:H34)</f>
        <v>0</v>
      </c>
    </row>
    <row r="28" spans="2:8" outlineLevel="1" x14ac:dyDescent="0.25">
      <c r="B28" s="1" t="s">
        <v>87</v>
      </c>
      <c r="C28" s="32">
        <v>149624.01999999999</v>
      </c>
      <c r="E28" s="36">
        <v>0</v>
      </c>
      <c r="F28" s="66">
        <v>0</v>
      </c>
      <c r="G28" s="41">
        <f t="shared" ref="G28:G34" si="8">+E28*C28</f>
        <v>0</v>
      </c>
      <c r="H28" s="41">
        <f t="shared" ref="H28:H34" si="9">+F28*C28</f>
        <v>0</v>
      </c>
    </row>
    <row r="29" spans="2:8" outlineLevel="1" x14ac:dyDescent="0.25">
      <c r="B29" s="1" t="s">
        <v>88</v>
      </c>
      <c r="C29" s="32">
        <v>4606.1499999999996</v>
      </c>
      <c r="E29" s="36">
        <v>0</v>
      </c>
      <c r="F29" s="66">
        <v>0</v>
      </c>
      <c r="G29" s="41">
        <f t="shared" si="8"/>
        <v>0</v>
      </c>
      <c r="H29" s="41">
        <f t="shared" si="9"/>
        <v>0</v>
      </c>
    </row>
    <row r="30" spans="2:8" outlineLevel="1" x14ac:dyDescent="0.25">
      <c r="B30" s="1" t="s">
        <v>89</v>
      </c>
      <c r="C30" s="32">
        <v>12572.62</v>
      </c>
      <c r="E30" s="36">
        <v>0</v>
      </c>
      <c r="F30" s="66">
        <v>0</v>
      </c>
      <c r="G30" s="41">
        <f t="shared" si="8"/>
        <v>0</v>
      </c>
      <c r="H30" s="41">
        <f t="shared" si="9"/>
        <v>0</v>
      </c>
    </row>
    <row r="31" spans="2:8" outlineLevel="1" x14ac:dyDescent="0.25">
      <c r="B31" s="1" t="s">
        <v>90</v>
      </c>
      <c r="C31" s="32">
        <v>9035.06</v>
      </c>
      <c r="E31" s="36">
        <v>0</v>
      </c>
      <c r="F31" s="66">
        <v>0</v>
      </c>
      <c r="G31" s="41">
        <f t="shared" si="8"/>
        <v>0</v>
      </c>
      <c r="H31" s="41">
        <f t="shared" si="9"/>
        <v>0</v>
      </c>
    </row>
    <row r="32" spans="2:8" outlineLevel="1" x14ac:dyDescent="0.25">
      <c r="B32" s="1" t="s">
        <v>91</v>
      </c>
      <c r="C32" s="32">
        <v>17496.64</v>
      </c>
      <c r="E32" s="36">
        <v>0</v>
      </c>
      <c r="F32" s="66">
        <v>0</v>
      </c>
      <c r="G32" s="41">
        <f t="shared" si="8"/>
        <v>0</v>
      </c>
      <c r="H32" s="41">
        <f t="shared" si="9"/>
        <v>0</v>
      </c>
    </row>
    <row r="33" spans="2:8" outlineLevel="1" x14ac:dyDescent="0.25">
      <c r="B33" s="1" t="s">
        <v>92</v>
      </c>
      <c r="C33" s="32">
        <v>4186.91</v>
      </c>
      <c r="E33" s="36">
        <v>0</v>
      </c>
      <c r="F33" s="66">
        <v>0</v>
      </c>
      <c r="G33" s="41">
        <f t="shared" si="8"/>
        <v>0</v>
      </c>
      <c r="H33" s="41">
        <f t="shared" si="9"/>
        <v>0</v>
      </c>
    </row>
    <row r="34" spans="2:8" outlineLevel="1" x14ac:dyDescent="0.25">
      <c r="B34" s="1" t="s">
        <v>93</v>
      </c>
      <c r="C34" s="32">
        <v>1511.8</v>
      </c>
      <c r="E34" s="36">
        <v>0</v>
      </c>
      <c r="F34" s="66">
        <v>0</v>
      </c>
      <c r="G34" s="41">
        <f t="shared" si="8"/>
        <v>0</v>
      </c>
      <c r="H34" s="41">
        <f t="shared" si="9"/>
        <v>0</v>
      </c>
    </row>
    <row r="35" spans="2:8" s="57" customFormat="1" x14ac:dyDescent="0.25">
      <c r="B35" s="62" t="s">
        <v>94</v>
      </c>
      <c r="C35" s="63">
        <v>262079.24</v>
      </c>
      <c r="E35" s="39">
        <f>+G35/C35</f>
        <v>0.83618669376483223</v>
      </c>
      <c r="F35" s="65">
        <f>+H35/C35</f>
        <v>0.79297249946237625</v>
      </c>
      <c r="G35" s="40">
        <f>SUM(G36:G44)</f>
        <v>219147.17319999996</v>
      </c>
      <c r="H35" s="40">
        <f>SUM(H36:H44)</f>
        <v>207821.62999999998</v>
      </c>
    </row>
    <row r="36" spans="2:8" outlineLevel="1" x14ac:dyDescent="0.25">
      <c r="B36" s="1" t="s">
        <v>95</v>
      </c>
      <c r="C36" s="32">
        <v>17171.04</v>
      </c>
      <c r="E36" s="36">
        <v>1</v>
      </c>
      <c r="F36" s="66">
        <v>1</v>
      </c>
      <c r="G36" s="41">
        <f t="shared" ref="G36:G44" si="10">+E36*C36</f>
        <v>17171.04</v>
      </c>
      <c r="H36" s="41">
        <f t="shared" ref="H36:H44" si="11">+F36*C36</f>
        <v>17171.04</v>
      </c>
    </row>
    <row r="37" spans="2:8" outlineLevel="1" x14ac:dyDescent="0.25">
      <c r="B37" s="1" t="s">
        <v>96</v>
      </c>
      <c r="C37" s="32">
        <v>11102.69</v>
      </c>
      <c r="E37" s="36">
        <v>1</v>
      </c>
      <c r="F37" s="66">
        <v>1</v>
      </c>
      <c r="G37" s="41">
        <f t="shared" si="10"/>
        <v>11102.69</v>
      </c>
      <c r="H37" s="41">
        <f t="shared" si="11"/>
        <v>11102.69</v>
      </c>
    </row>
    <row r="38" spans="2:8" outlineLevel="1" x14ac:dyDescent="0.25">
      <c r="B38" s="1" t="s">
        <v>97</v>
      </c>
      <c r="C38" s="32">
        <v>104227.7</v>
      </c>
      <c r="E38" s="36">
        <v>1</v>
      </c>
      <c r="F38" s="66">
        <v>1</v>
      </c>
      <c r="G38" s="41">
        <f t="shared" si="10"/>
        <v>104227.7</v>
      </c>
      <c r="H38" s="41">
        <f t="shared" si="11"/>
        <v>104227.7</v>
      </c>
    </row>
    <row r="39" spans="2:8" outlineLevel="1" x14ac:dyDescent="0.25">
      <c r="B39" s="1" t="s">
        <v>98</v>
      </c>
      <c r="C39" s="32">
        <v>15242.86</v>
      </c>
      <c r="E39" s="36">
        <v>1</v>
      </c>
      <c r="F39" s="66">
        <v>1</v>
      </c>
      <c r="G39" s="41">
        <f t="shared" si="10"/>
        <v>15242.86</v>
      </c>
      <c r="H39" s="41">
        <f t="shared" si="11"/>
        <v>15242.86</v>
      </c>
    </row>
    <row r="40" spans="2:8" outlineLevel="1" x14ac:dyDescent="0.25">
      <c r="B40" s="1" t="s">
        <v>99</v>
      </c>
      <c r="C40" s="32">
        <v>45613.87</v>
      </c>
      <c r="E40" s="36">
        <v>0.88</v>
      </c>
      <c r="F40" s="66">
        <v>1</v>
      </c>
      <c r="G40" s="41">
        <f t="shared" si="10"/>
        <v>40140.205600000001</v>
      </c>
      <c r="H40" s="41">
        <f t="shared" si="11"/>
        <v>45613.87</v>
      </c>
    </row>
    <row r="41" spans="2:8" outlineLevel="1" x14ac:dyDescent="0.25">
      <c r="B41" s="1" t="s">
        <v>100</v>
      </c>
      <c r="C41" s="32">
        <v>28926.94</v>
      </c>
      <c r="E41" s="36">
        <v>0.88</v>
      </c>
      <c r="F41" s="66">
        <v>0.5</v>
      </c>
      <c r="G41" s="41">
        <f t="shared" si="10"/>
        <v>25455.707200000001</v>
      </c>
      <c r="H41" s="41">
        <f t="shared" si="11"/>
        <v>14463.47</v>
      </c>
    </row>
    <row r="42" spans="2:8" outlineLevel="1" x14ac:dyDescent="0.25">
      <c r="B42" s="1" t="s">
        <v>101</v>
      </c>
      <c r="C42" s="32">
        <v>17596.88</v>
      </c>
      <c r="E42" s="36">
        <v>0.33</v>
      </c>
      <c r="F42" s="66">
        <v>0</v>
      </c>
      <c r="G42" s="41">
        <f t="shared" si="10"/>
        <v>5806.9704000000011</v>
      </c>
      <c r="H42" s="41">
        <f t="shared" si="11"/>
        <v>0</v>
      </c>
    </row>
    <row r="43" spans="2:8" outlineLevel="1" x14ac:dyDescent="0.25">
      <c r="B43" s="1" t="s">
        <v>102</v>
      </c>
      <c r="C43" s="32">
        <v>4240.6099999999997</v>
      </c>
      <c r="E43" s="36">
        <v>0</v>
      </c>
      <c r="F43" s="66">
        <v>0</v>
      </c>
      <c r="G43" s="41">
        <f t="shared" si="10"/>
        <v>0</v>
      </c>
      <c r="H43" s="41">
        <f t="shared" si="11"/>
        <v>0</v>
      </c>
    </row>
    <row r="44" spans="2:8" outlineLevel="1" x14ac:dyDescent="0.25">
      <c r="B44" s="1" t="s">
        <v>103</v>
      </c>
      <c r="C44" s="32">
        <v>17956.650000000001</v>
      </c>
      <c r="E44" s="36">
        <v>0</v>
      </c>
      <c r="F44" s="66">
        <v>0</v>
      </c>
      <c r="G44" s="41">
        <f t="shared" si="10"/>
        <v>0</v>
      </c>
      <c r="H44" s="41">
        <f t="shared" si="11"/>
        <v>0</v>
      </c>
    </row>
    <row r="45" spans="2:8" s="57" customFormat="1" x14ac:dyDescent="0.25">
      <c r="B45" s="62" t="s">
        <v>104</v>
      </c>
      <c r="C45" s="63">
        <v>208136.54</v>
      </c>
      <c r="E45" s="39">
        <f>+G45/C45</f>
        <v>0</v>
      </c>
      <c r="F45" s="65">
        <f>+H45/C45</f>
        <v>0</v>
      </c>
      <c r="G45" s="40">
        <f>SUM(G46:G48)</f>
        <v>0</v>
      </c>
      <c r="H45" s="40">
        <f>SUM(H46:H48)</f>
        <v>0</v>
      </c>
    </row>
    <row r="46" spans="2:8" outlineLevel="1" x14ac:dyDescent="0.25">
      <c r="B46" s="1" t="s">
        <v>105</v>
      </c>
      <c r="C46" s="32">
        <v>71542.44</v>
      </c>
      <c r="E46" s="36">
        <v>0</v>
      </c>
      <c r="F46" s="66">
        <v>0</v>
      </c>
      <c r="G46" s="41">
        <f t="shared" ref="G46:G75" si="12">+E46*C46</f>
        <v>0</v>
      </c>
      <c r="H46" s="41">
        <f t="shared" ref="H46:H75" si="13">+F46*C46</f>
        <v>0</v>
      </c>
    </row>
    <row r="47" spans="2:8" outlineLevel="1" x14ac:dyDescent="0.25">
      <c r="B47" s="1" t="s">
        <v>106</v>
      </c>
      <c r="C47" s="32">
        <v>51654.44</v>
      </c>
      <c r="E47" s="36">
        <v>0</v>
      </c>
      <c r="F47" s="66">
        <v>0</v>
      </c>
      <c r="G47" s="41">
        <f t="shared" si="12"/>
        <v>0</v>
      </c>
      <c r="H47" s="41">
        <f t="shared" si="13"/>
        <v>0</v>
      </c>
    </row>
    <row r="48" spans="2:8" outlineLevel="1" x14ac:dyDescent="0.25">
      <c r="B48" s="1" t="s">
        <v>107</v>
      </c>
      <c r="C48" s="32">
        <v>84939.66</v>
      </c>
      <c r="E48" s="36">
        <v>0</v>
      </c>
      <c r="F48" s="66">
        <v>0</v>
      </c>
      <c r="G48" s="41">
        <f t="shared" si="12"/>
        <v>0</v>
      </c>
      <c r="H48" s="41">
        <f t="shared" si="13"/>
        <v>0</v>
      </c>
    </row>
    <row r="49" spans="2:8" s="57" customFormat="1" x14ac:dyDescent="0.25">
      <c r="B49" s="62" t="s">
        <v>108</v>
      </c>
      <c r="C49" s="63">
        <v>82504.42</v>
      </c>
      <c r="E49" s="39">
        <f>+G49/C49</f>
        <v>0</v>
      </c>
      <c r="F49" s="65">
        <f>+H49/C49</f>
        <v>0</v>
      </c>
      <c r="G49" s="40">
        <f>SUM(G50:G53)</f>
        <v>0</v>
      </c>
      <c r="H49" s="40">
        <f>SUM(H50:H53)</f>
        <v>0</v>
      </c>
    </row>
    <row r="50" spans="2:8" outlineLevel="1" x14ac:dyDescent="0.25">
      <c r="B50" s="1" t="s">
        <v>109</v>
      </c>
      <c r="C50" s="32">
        <v>4651.28</v>
      </c>
      <c r="E50" s="36">
        <v>0</v>
      </c>
      <c r="F50" s="66">
        <v>0</v>
      </c>
      <c r="G50" s="41">
        <f t="shared" si="12"/>
        <v>0</v>
      </c>
      <c r="H50" s="41">
        <f t="shared" si="13"/>
        <v>0</v>
      </c>
    </row>
    <row r="51" spans="2:8" outlineLevel="1" x14ac:dyDescent="0.25">
      <c r="B51" s="1" t="s">
        <v>110</v>
      </c>
      <c r="C51" s="32">
        <v>4651.28</v>
      </c>
      <c r="E51" s="36">
        <v>0</v>
      </c>
      <c r="F51" s="66">
        <v>0</v>
      </c>
      <c r="G51" s="41">
        <f t="shared" si="12"/>
        <v>0</v>
      </c>
      <c r="H51" s="41">
        <f t="shared" si="13"/>
        <v>0</v>
      </c>
    </row>
    <row r="52" spans="2:8" outlineLevel="1" x14ac:dyDescent="0.25">
      <c r="B52" s="1" t="s">
        <v>111</v>
      </c>
      <c r="C52" s="32">
        <v>3510.42</v>
      </c>
      <c r="E52" s="36">
        <v>0</v>
      </c>
      <c r="F52" s="66">
        <v>0</v>
      </c>
      <c r="G52" s="41">
        <f t="shared" si="12"/>
        <v>0</v>
      </c>
      <c r="H52" s="41">
        <f t="shared" si="13"/>
        <v>0</v>
      </c>
    </row>
    <row r="53" spans="2:8" outlineLevel="1" x14ac:dyDescent="0.25">
      <c r="B53" s="1" t="s">
        <v>112</v>
      </c>
      <c r="C53" s="32">
        <v>69691.44</v>
      </c>
      <c r="E53" s="36">
        <v>0</v>
      </c>
      <c r="F53" s="66">
        <v>0</v>
      </c>
      <c r="G53" s="41">
        <f t="shared" si="12"/>
        <v>0</v>
      </c>
      <c r="H53" s="41">
        <f t="shared" si="13"/>
        <v>0</v>
      </c>
    </row>
    <row r="54" spans="2:8" s="57" customFormat="1" x14ac:dyDescent="0.25">
      <c r="B54" s="62" t="s">
        <v>113</v>
      </c>
      <c r="C54" s="63">
        <v>74620.34</v>
      </c>
      <c r="E54" s="39">
        <v>0</v>
      </c>
      <c r="F54" s="65">
        <v>0</v>
      </c>
      <c r="G54" s="40">
        <f>SUM(G55:G75)</f>
        <v>57763.360000000001</v>
      </c>
      <c r="H54" s="40">
        <f>SUM(H55:H75)</f>
        <v>52731.560000000005</v>
      </c>
    </row>
    <row r="55" spans="2:8" outlineLevel="1" x14ac:dyDescent="0.25">
      <c r="B55" s="1" t="s">
        <v>114</v>
      </c>
      <c r="C55" s="32">
        <v>3421.28</v>
      </c>
      <c r="E55" s="36">
        <v>1</v>
      </c>
      <c r="F55" s="66">
        <v>1</v>
      </c>
      <c r="G55" s="41">
        <f t="shared" si="12"/>
        <v>3421.28</v>
      </c>
      <c r="H55" s="41">
        <f t="shared" si="13"/>
        <v>3421.28</v>
      </c>
    </row>
    <row r="56" spans="2:8" outlineLevel="1" x14ac:dyDescent="0.25">
      <c r="B56" s="1" t="s">
        <v>115</v>
      </c>
      <c r="C56" s="32">
        <v>9649.5</v>
      </c>
      <c r="E56" s="36">
        <v>1</v>
      </c>
      <c r="F56" s="66">
        <v>1</v>
      </c>
      <c r="G56" s="41">
        <f t="shared" si="12"/>
        <v>9649.5</v>
      </c>
      <c r="H56" s="41">
        <f t="shared" si="13"/>
        <v>9649.5</v>
      </c>
    </row>
    <row r="57" spans="2:8" outlineLevel="1" x14ac:dyDescent="0.25">
      <c r="B57" s="1" t="s">
        <v>116</v>
      </c>
      <c r="C57" s="32">
        <v>536.04</v>
      </c>
      <c r="E57" s="36">
        <v>0</v>
      </c>
      <c r="F57" s="66">
        <v>0</v>
      </c>
      <c r="G57" s="41">
        <f t="shared" si="12"/>
        <v>0</v>
      </c>
      <c r="H57" s="41">
        <f t="shared" si="13"/>
        <v>0</v>
      </c>
    </row>
    <row r="58" spans="2:8" outlineLevel="1" x14ac:dyDescent="0.25">
      <c r="B58" s="1" t="s">
        <v>117</v>
      </c>
      <c r="C58" s="32">
        <v>113.42</v>
      </c>
      <c r="E58" s="36">
        <v>1</v>
      </c>
      <c r="F58" s="66">
        <v>0</v>
      </c>
      <c r="G58" s="41">
        <f t="shared" si="12"/>
        <v>113.42</v>
      </c>
      <c r="H58" s="41">
        <f t="shared" si="13"/>
        <v>0</v>
      </c>
    </row>
    <row r="59" spans="2:8" outlineLevel="1" x14ac:dyDescent="0.25">
      <c r="B59" s="1" t="s">
        <v>118</v>
      </c>
      <c r="C59" s="32">
        <v>1084.3699999999999</v>
      </c>
      <c r="E59" s="36">
        <v>0</v>
      </c>
      <c r="F59" s="66">
        <v>0</v>
      </c>
      <c r="G59" s="41">
        <f t="shared" si="12"/>
        <v>0</v>
      </c>
      <c r="H59" s="41">
        <f t="shared" si="13"/>
        <v>0</v>
      </c>
    </row>
    <row r="60" spans="2:8" outlineLevel="1" x14ac:dyDescent="0.25">
      <c r="B60" s="1" t="s">
        <v>119</v>
      </c>
      <c r="C60" s="32">
        <v>590.98</v>
      </c>
      <c r="E60" s="36">
        <v>0</v>
      </c>
      <c r="F60" s="66">
        <v>0</v>
      </c>
      <c r="G60" s="41">
        <f t="shared" si="12"/>
        <v>0</v>
      </c>
      <c r="H60" s="41">
        <f t="shared" si="13"/>
        <v>0</v>
      </c>
    </row>
    <row r="61" spans="2:8" outlineLevel="1" x14ac:dyDescent="0.25">
      <c r="B61" s="1" t="s">
        <v>120</v>
      </c>
      <c r="C61" s="32">
        <v>456.65</v>
      </c>
      <c r="E61" s="36">
        <v>0</v>
      </c>
      <c r="F61" s="66">
        <v>0</v>
      </c>
      <c r="G61" s="41">
        <f t="shared" si="12"/>
        <v>0</v>
      </c>
      <c r="H61" s="41">
        <f t="shared" si="13"/>
        <v>0</v>
      </c>
    </row>
    <row r="62" spans="2:8" outlineLevel="1" x14ac:dyDescent="0.25">
      <c r="B62" s="1" t="s">
        <v>121</v>
      </c>
      <c r="C62" s="32">
        <v>356.96</v>
      </c>
      <c r="E62" s="36">
        <v>0</v>
      </c>
      <c r="F62" s="66">
        <v>0</v>
      </c>
      <c r="G62" s="41">
        <f t="shared" si="12"/>
        <v>0</v>
      </c>
      <c r="H62" s="41">
        <f t="shared" si="13"/>
        <v>0</v>
      </c>
    </row>
    <row r="63" spans="2:8" outlineLevel="1" x14ac:dyDescent="0.25">
      <c r="B63" s="1" t="s">
        <v>122</v>
      </c>
      <c r="C63" s="32">
        <v>303.93</v>
      </c>
      <c r="E63" s="36">
        <v>0</v>
      </c>
      <c r="F63" s="66">
        <v>0</v>
      </c>
      <c r="G63" s="41">
        <f t="shared" si="12"/>
        <v>0</v>
      </c>
      <c r="H63" s="41">
        <f t="shared" si="13"/>
        <v>0</v>
      </c>
    </row>
    <row r="64" spans="2:8" outlineLevel="1" x14ac:dyDescent="0.25">
      <c r="B64" s="1" t="s">
        <v>123</v>
      </c>
      <c r="C64" s="32">
        <v>403.8</v>
      </c>
      <c r="E64" s="36">
        <v>1</v>
      </c>
      <c r="F64" s="66">
        <v>1</v>
      </c>
      <c r="G64" s="41">
        <f t="shared" si="12"/>
        <v>403.8</v>
      </c>
      <c r="H64" s="41">
        <f t="shared" si="13"/>
        <v>403.8</v>
      </c>
    </row>
    <row r="65" spans="2:8" outlineLevel="1" x14ac:dyDescent="0.25">
      <c r="B65" s="1" t="s">
        <v>124</v>
      </c>
      <c r="C65" s="32">
        <v>403.8</v>
      </c>
      <c r="E65" s="36">
        <v>1</v>
      </c>
      <c r="F65" s="66">
        <v>1</v>
      </c>
      <c r="G65" s="41">
        <f t="shared" si="12"/>
        <v>403.8</v>
      </c>
      <c r="H65" s="41">
        <f t="shared" si="13"/>
        <v>403.8</v>
      </c>
    </row>
    <row r="66" spans="2:8" outlineLevel="1" x14ac:dyDescent="0.25">
      <c r="B66" s="1" t="s">
        <v>125</v>
      </c>
      <c r="C66" s="32">
        <v>24591.9</v>
      </c>
      <c r="E66" s="36">
        <v>1</v>
      </c>
      <c r="F66" s="66">
        <v>0.8</v>
      </c>
      <c r="G66" s="41">
        <f t="shared" si="12"/>
        <v>24591.9</v>
      </c>
      <c r="H66" s="41">
        <f t="shared" si="13"/>
        <v>19673.520000000004</v>
      </c>
    </row>
    <row r="67" spans="2:8" outlineLevel="1" x14ac:dyDescent="0.25">
      <c r="B67" s="1" t="s">
        <v>126</v>
      </c>
      <c r="C67" s="32">
        <v>4020.64</v>
      </c>
      <c r="E67" s="36">
        <v>0</v>
      </c>
      <c r="F67" s="66">
        <v>0</v>
      </c>
      <c r="G67" s="41">
        <f t="shared" si="12"/>
        <v>0</v>
      </c>
      <c r="H67" s="41">
        <f t="shared" si="13"/>
        <v>0</v>
      </c>
    </row>
    <row r="68" spans="2:8" outlineLevel="1" x14ac:dyDescent="0.25">
      <c r="B68" s="1" t="s">
        <v>127</v>
      </c>
      <c r="C68" s="32">
        <v>3937.92</v>
      </c>
      <c r="E68" s="36">
        <v>0</v>
      </c>
      <c r="F68" s="66">
        <v>0</v>
      </c>
      <c r="G68" s="41">
        <f t="shared" si="12"/>
        <v>0</v>
      </c>
      <c r="H68" s="41">
        <f t="shared" si="13"/>
        <v>0</v>
      </c>
    </row>
    <row r="69" spans="2:8" outlineLevel="1" x14ac:dyDescent="0.25">
      <c r="B69" s="1" t="s">
        <v>128</v>
      </c>
      <c r="C69" s="32">
        <v>1160.05</v>
      </c>
      <c r="E69" s="36">
        <v>0</v>
      </c>
      <c r="F69" s="66">
        <v>0</v>
      </c>
      <c r="G69" s="41">
        <f t="shared" si="12"/>
        <v>0</v>
      </c>
      <c r="H69" s="41">
        <f t="shared" si="13"/>
        <v>0</v>
      </c>
    </row>
    <row r="70" spans="2:8" outlineLevel="1" x14ac:dyDescent="0.25">
      <c r="B70" s="1" t="s">
        <v>129</v>
      </c>
      <c r="C70" s="32">
        <v>1867.89</v>
      </c>
      <c r="E70" s="36">
        <v>0</v>
      </c>
      <c r="F70" s="66">
        <v>0</v>
      </c>
      <c r="G70" s="41">
        <f t="shared" si="12"/>
        <v>0</v>
      </c>
      <c r="H70" s="41">
        <f t="shared" si="13"/>
        <v>0</v>
      </c>
    </row>
    <row r="71" spans="2:8" outlineLevel="1" x14ac:dyDescent="0.25">
      <c r="B71" s="1" t="s">
        <v>130</v>
      </c>
      <c r="C71" s="32">
        <v>8542.26</v>
      </c>
      <c r="E71" s="36">
        <v>1</v>
      </c>
      <c r="F71" s="66">
        <v>1</v>
      </c>
      <c r="G71" s="41">
        <f t="shared" si="12"/>
        <v>8542.26</v>
      </c>
      <c r="H71" s="41">
        <f t="shared" si="13"/>
        <v>8542.26</v>
      </c>
    </row>
    <row r="72" spans="2:8" outlineLevel="1" x14ac:dyDescent="0.25">
      <c r="B72" s="1" t="s">
        <v>131</v>
      </c>
      <c r="C72" s="32">
        <v>776.16</v>
      </c>
      <c r="E72" s="36">
        <v>1</v>
      </c>
      <c r="F72" s="66">
        <v>1</v>
      </c>
      <c r="G72" s="41">
        <f t="shared" si="12"/>
        <v>776.16</v>
      </c>
      <c r="H72" s="41">
        <f t="shared" si="13"/>
        <v>776.16</v>
      </c>
    </row>
    <row r="73" spans="2:8" outlineLevel="1" x14ac:dyDescent="0.25">
      <c r="B73" s="1" t="s">
        <v>132</v>
      </c>
      <c r="C73" s="32">
        <v>8456.5400000000009</v>
      </c>
      <c r="E73" s="36">
        <v>1</v>
      </c>
      <c r="F73" s="66">
        <v>1</v>
      </c>
      <c r="G73" s="41">
        <f t="shared" si="12"/>
        <v>8456.5400000000009</v>
      </c>
      <c r="H73" s="41">
        <f t="shared" si="13"/>
        <v>8456.5400000000009</v>
      </c>
    </row>
    <row r="74" spans="2:8" outlineLevel="1" x14ac:dyDescent="0.25">
      <c r="B74" s="1" t="s">
        <v>133</v>
      </c>
      <c r="C74" s="32">
        <v>1404.7</v>
      </c>
      <c r="E74" s="36">
        <v>1</v>
      </c>
      <c r="F74" s="66">
        <v>1</v>
      </c>
      <c r="G74" s="41">
        <f t="shared" si="12"/>
        <v>1404.7</v>
      </c>
      <c r="H74" s="41">
        <f t="shared" si="13"/>
        <v>1404.7</v>
      </c>
    </row>
    <row r="75" spans="2:8" outlineLevel="1" x14ac:dyDescent="0.25">
      <c r="B75" s="1" t="s">
        <v>134</v>
      </c>
      <c r="C75" s="32">
        <v>2541.5500000000002</v>
      </c>
      <c r="E75" s="36">
        <v>0</v>
      </c>
      <c r="F75" s="66">
        <v>0</v>
      </c>
      <c r="G75" s="41">
        <f t="shared" si="12"/>
        <v>0</v>
      </c>
      <c r="H75" s="41">
        <f t="shared" si="13"/>
        <v>0</v>
      </c>
    </row>
    <row r="76" spans="2:8" s="57" customFormat="1" x14ac:dyDescent="0.25">
      <c r="B76" s="62" t="s">
        <v>135</v>
      </c>
      <c r="C76" s="63">
        <v>114896.1</v>
      </c>
      <c r="E76" s="39">
        <f>+G76/C76</f>
        <v>0.76144990996213091</v>
      </c>
      <c r="F76" s="65">
        <f>+H76/C76</f>
        <v>0.65722008841031165</v>
      </c>
      <c r="G76" s="40">
        <f>SUM(G77:G95)</f>
        <v>87487.625</v>
      </c>
      <c r="H76" s="40">
        <f>SUM(H77:H95)</f>
        <v>75512.025000000009</v>
      </c>
    </row>
    <row r="77" spans="2:8" outlineLevel="1" x14ac:dyDescent="0.25">
      <c r="B77" s="1" t="s">
        <v>136</v>
      </c>
      <c r="C77" s="32">
        <v>4100.8999999999996</v>
      </c>
      <c r="E77" s="36">
        <v>0.25</v>
      </c>
      <c r="F77" s="66">
        <v>0</v>
      </c>
      <c r="G77" s="41">
        <f t="shared" ref="G77:G99" si="14">+E77*C77</f>
        <v>1025.2249999999999</v>
      </c>
      <c r="H77" s="41">
        <f t="shared" ref="H77:H99" si="15">+F77*C77</f>
        <v>0</v>
      </c>
    </row>
    <row r="78" spans="2:8" outlineLevel="1" x14ac:dyDescent="0.25">
      <c r="B78" s="1" t="s">
        <v>137</v>
      </c>
      <c r="C78" s="32">
        <v>2220.9899999999998</v>
      </c>
      <c r="E78" s="36">
        <v>1</v>
      </c>
      <c r="F78" s="66">
        <v>1</v>
      </c>
      <c r="G78" s="41">
        <f t="shared" si="14"/>
        <v>2220.9899999999998</v>
      </c>
      <c r="H78" s="41">
        <f t="shared" si="15"/>
        <v>2220.9899999999998</v>
      </c>
    </row>
    <row r="79" spans="2:8" outlineLevel="1" x14ac:dyDescent="0.25">
      <c r="B79" s="1" t="s">
        <v>138</v>
      </c>
      <c r="C79" s="32">
        <v>185.42</v>
      </c>
      <c r="E79" s="36">
        <v>1</v>
      </c>
      <c r="F79" s="66">
        <v>1</v>
      </c>
      <c r="G79" s="41">
        <f t="shared" si="14"/>
        <v>185.42</v>
      </c>
      <c r="H79" s="41">
        <f t="shared" si="15"/>
        <v>185.42</v>
      </c>
    </row>
    <row r="80" spans="2:8" outlineLevel="1" x14ac:dyDescent="0.25">
      <c r="B80" s="1" t="s">
        <v>139</v>
      </c>
      <c r="C80" s="32">
        <v>66651</v>
      </c>
      <c r="E80" s="36">
        <v>1</v>
      </c>
      <c r="F80" s="66">
        <v>1</v>
      </c>
      <c r="G80" s="41">
        <f t="shared" si="14"/>
        <v>66651</v>
      </c>
      <c r="H80" s="41">
        <f t="shared" si="15"/>
        <v>66651</v>
      </c>
    </row>
    <row r="81" spans="2:8" outlineLevel="1" x14ac:dyDescent="0.25">
      <c r="B81" s="1" t="s">
        <v>140</v>
      </c>
      <c r="C81" s="32">
        <v>2748.38</v>
      </c>
      <c r="E81" s="36">
        <v>1</v>
      </c>
      <c r="F81" s="66">
        <v>1</v>
      </c>
      <c r="G81" s="41">
        <f t="shared" si="14"/>
        <v>2748.38</v>
      </c>
      <c r="H81" s="41">
        <f t="shared" si="15"/>
        <v>2748.38</v>
      </c>
    </row>
    <row r="82" spans="2:8" outlineLevel="1" x14ac:dyDescent="0.25">
      <c r="B82" s="1" t="s">
        <v>141</v>
      </c>
      <c r="C82" s="32">
        <v>3040.32</v>
      </c>
      <c r="E82" s="36">
        <v>1</v>
      </c>
      <c r="F82" s="66">
        <v>0.5</v>
      </c>
      <c r="G82" s="41">
        <f t="shared" si="14"/>
        <v>3040.32</v>
      </c>
      <c r="H82" s="41">
        <f t="shared" si="15"/>
        <v>1520.16</v>
      </c>
    </row>
    <row r="83" spans="2:8" outlineLevel="1" x14ac:dyDescent="0.25">
      <c r="B83" s="1" t="s">
        <v>142</v>
      </c>
      <c r="C83" s="32">
        <v>4372.1499999999996</v>
      </c>
      <c r="E83" s="36">
        <v>1</v>
      </c>
      <c r="F83" s="66">
        <v>0.5</v>
      </c>
      <c r="G83" s="41">
        <f t="shared" si="14"/>
        <v>4372.1499999999996</v>
      </c>
      <c r="H83" s="41">
        <f t="shared" si="15"/>
        <v>2186.0749999999998</v>
      </c>
    </row>
    <row r="84" spans="2:8" outlineLevel="1" x14ac:dyDescent="0.25">
      <c r="B84" s="1" t="s">
        <v>143</v>
      </c>
      <c r="C84" s="32">
        <v>9472.5</v>
      </c>
      <c r="E84" s="36">
        <v>0</v>
      </c>
      <c r="F84" s="66">
        <v>0</v>
      </c>
      <c r="G84" s="41">
        <f t="shared" si="14"/>
        <v>0</v>
      </c>
      <c r="H84" s="41">
        <f t="shared" si="15"/>
        <v>0</v>
      </c>
    </row>
    <row r="85" spans="2:8" outlineLevel="1" x14ac:dyDescent="0.25">
      <c r="B85" s="1" t="s">
        <v>144</v>
      </c>
      <c r="C85" s="32">
        <v>2502.9499999999998</v>
      </c>
      <c r="E85" s="36">
        <v>0</v>
      </c>
      <c r="F85" s="66">
        <v>0</v>
      </c>
      <c r="G85" s="41">
        <f t="shared" si="14"/>
        <v>0</v>
      </c>
      <c r="H85" s="41">
        <f t="shared" si="15"/>
        <v>0</v>
      </c>
    </row>
    <row r="86" spans="2:8" outlineLevel="1" x14ac:dyDescent="0.25">
      <c r="B86" s="1" t="s">
        <v>145</v>
      </c>
      <c r="C86" s="32">
        <v>3341.95</v>
      </c>
      <c r="E86" s="36">
        <v>0</v>
      </c>
      <c r="F86" s="66">
        <v>0</v>
      </c>
      <c r="G86" s="41">
        <f t="shared" si="14"/>
        <v>0</v>
      </c>
      <c r="H86" s="41">
        <f t="shared" si="15"/>
        <v>0</v>
      </c>
    </row>
    <row r="87" spans="2:8" outlineLevel="1" x14ac:dyDescent="0.25">
      <c r="B87" s="1" t="s">
        <v>146</v>
      </c>
      <c r="C87" s="32">
        <v>1052.52</v>
      </c>
      <c r="E87" s="36">
        <v>0</v>
      </c>
      <c r="F87" s="66">
        <v>0</v>
      </c>
      <c r="G87" s="41">
        <f t="shared" si="14"/>
        <v>0</v>
      </c>
      <c r="H87" s="41">
        <f t="shared" si="15"/>
        <v>0</v>
      </c>
    </row>
    <row r="88" spans="2:8" outlineLevel="1" x14ac:dyDescent="0.25">
      <c r="B88" s="1" t="s">
        <v>147</v>
      </c>
      <c r="C88" s="32">
        <v>526.26</v>
      </c>
      <c r="E88" s="36">
        <v>0</v>
      </c>
      <c r="F88" s="66">
        <v>0</v>
      </c>
      <c r="G88" s="41">
        <f t="shared" si="14"/>
        <v>0</v>
      </c>
      <c r="H88" s="41">
        <f t="shared" si="15"/>
        <v>0</v>
      </c>
    </row>
    <row r="89" spans="2:8" outlineLevel="1" x14ac:dyDescent="0.25">
      <c r="B89" s="1" t="s">
        <v>148</v>
      </c>
      <c r="C89" s="32">
        <v>526.26</v>
      </c>
      <c r="E89" s="36">
        <v>0</v>
      </c>
      <c r="F89" s="66">
        <v>0</v>
      </c>
      <c r="G89" s="41">
        <f t="shared" si="14"/>
        <v>0</v>
      </c>
      <c r="H89" s="41">
        <f t="shared" si="15"/>
        <v>0</v>
      </c>
    </row>
    <row r="90" spans="2:8" outlineLevel="1" x14ac:dyDescent="0.25">
      <c r="B90" s="1" t="s">
        <v>149</v>
      </c>
      <c r="C90" s="32">
        <v>873.54</v>
      </c>
      <c r="E90" s="36">
        <v>0</v>
      </c>
      <c r="F90" s="66">
        <v>0</v>
      </c>
      <c r="G90" s="41">
        <f t="shared" si="14"/>
        <v>0</v>
      </c>
      <c r="H90" s="41">
        <f t="shared" si="15"/>
        <v>0</v>
      </c>
    </row>
    <row r="91" spans="2:8" outlineLevel="1" x14ac:dyDescent="0.25">
      <c r="B91" s="1" t="s">
        <v>150</v>
      </c>
      <c r="C91" s="32">
        <v>313.07</v>
      </c>
      <c r="E91" s="36">
        <v>0</v>
      </c>
      <c r="F91" s="66">
        <v>0</v>
      </c>
      <c r="G91" s="41">
        <f t="shared" si="14"/>
        <v>0</v>
      </c>
      <c r="H91" s="41">
        <f t="shared" si="15"/>
        <v>0</v>
      </c>
    </row>
    <row r="92" spans="2:8" outlineLevel="1" x14ac:dyDescent="0.25">
      <c r="B92" s="1" t="s">
        <v>151</v>
      </c>
      <c r="C92" s="32">
        <v>1506.44</v>
      </c>
      <c r="E92" s="36">
        <v>0</v>
      </c>
      <c r="F92" s="66">
        <v>0</v>
      </c>
      <c r="G92" s="41">
        <f t="shared" si="14"/>
        <v>0</v>
      </c>
      <c r="H92" s="41">
        <f t="shared" si="15"/>
        <v>0</v>
      </c>
    </row>
    <row r="93" spans="2:8" outlineLevel="1" x14ac:dyDescent="0.25">
      <c r="B93" s="1" t="s">
        <v>152</v>
      </c>
      <c r="C93" s="32">
        <v>7244.14</v>
      </c>
      <c r="E93" s="36">
        <v>1</v>
      </c>
      <c r="F93" s="66">
        <v>0</v>
      </c>
      <c r="G93" s="41">
        <f t="shared" si="14"/>
        <v>7244.14</v>
      </c>
      <c r="H93" s="41">
        <f t="shared" si="15"/>
        <v>0</v>
      </c>
    </row>
    <row r="94" spans="2:8" outlineLevel="1" x14ac:dyDescent="0.25">
      <c r="B94" s="1" t="s">
        <v>153</v>
      </c>
      <c r="C94" s="32">
        <v>2033.95</v>
      </c>
      <c r="E94" s="36">
        <v>0</v>
      </c>
      <c r="F94" s="66">
        <v>0</v>
      </c>
      <c r="G94" s="41">
        <f t="shared" si="14"/>
        <v>0</v>
      </c>
      <c r="H94" s="41">
        <f t="shared" si="15"/>
        <v>0</v>
      </c>
    </row>
    <row r="95" spans="2:8" outlineLevel="1" x14ac:dyDescent="0.25">
      <c r="B95" s="1" t="s">
        <v>154</v>
      </c>
      <c r="C95" s="32">
        <v>2183.36</v>
      </c>
      <c r="E95" s="36">
        <v>0</v>
      </c>
      <c r="F95" s="66">
        <v>0</v>
      </c>
      <c r="G95" s="41">
        <f t="shared" si="14"/>
        <v>0</v>
      </c>
      <c r="H95" s="41">
        <f t="shared" si="15"/>
        <v>0</v>
      </c>
    </row>
    <row r="96" spans="2:8" s="57" customFormat="1" x14ac:dyDescent="0.25">
      <c r="B96" s="62" t="s">
        <v>155</v>
      </c>
      <c r="C96" s="63">
        <v>25502.09</v>
      </c>
      <c r="E96" s="39">
        <f>+G96/C96</f>
        <v>4.6028247096610513E-2</v>
      </c>
      <c r="F96" s="65">
        <f>+H96/C96</f>
        <v>1.13173077187007E-2</v>
      </c>
      <c r="G96" s="40">
        <f>SUM(G97:G99)</f>
        <v>1173.8164999999999</v>
      </c>
      <c r="H96" s="40">
        <f>SUM(H97:H99)</f>
        <v>288.61499999999995</v>
      </c>
    </row>
    <row r="97" spans="2:8" outlineLevel="1" x14ac:dyDescent="0.25">
      <c r="B97" s="1" t="s">
        <v>156</v>
      </c>
      <c r="C97" s="32">
        <v>962.05</v>
      </c>
      <c r="E97" s="36">
        <v>0.33</v>
      </c>
      <c r="F97" s="66">
        <v>0.3</v>
      </c>
      <c r="G97" s="41">
        <f t="shared" si="14"/>
        <v>317.47649999999999</v>
      </c>
      <c r="H97" s="41">
        <f t="shared" si="15"/>
        <v>288.61499999999995</v>
      </c>
    </row>
    <row r="98" spans="2:8" outlineLevel="1" x14ac:dyDescent="0.25">
      <c r="B98" s="1" t="s">
        <v>157</v>
      </c>
      <c r="C98" s="32">
        <v>856.34</v>
      </c>
      <c r="E98" s="36">
        <v>1</v>
      </c>
      <c r="F98" s="66">
        <v>0</v>
      </c>
      <c r="G98" s="41">
        <f t="shared" si="14"/>
        <v>856.34</v>
      </c>
      <c r="H98" s="41">
        <f t="shared" si="15"/>
        <v>0</v>
      </c>
    </row>
    <row r="99" spans="2:8" outlineLevel="1" x14ac:dyDescent="0.25">
      <c r="B99" s="1" t="s">
        <v>158</v>
      </c>
      <c r="C99" s="32">
        <v>23683.7</v>
      </c>
      <c r="E99" s="36">
        <v>0</v>
      </c>
      <c r="F99" s="66">
        <v>0</v>
      </c>
      <c r="G99" s="41">
        <f t="shared" si="14"/>
        <v>0</v>
      </c>
      <c r="H99" s="41">
        <f t="shared" si="15"/>
        <v>0</v>
      </c>
    </row>
    <row r="100" spans="2:8" s="57" customFormat="1" x14ac:dyDescent="0.25">
      <c r="B100" s="62" t="s">
        <v>159</v>
      </c>
      <c r="C100" s="63">
        <v>353801.87</v>
      </c>
      <c r="E100" s="39">
        <f>+G100/C100</f>
        <v>0</v>
      </c>
      <c r="F100" s="65">
        <f>+H100/C100</f>
        <v>0</v>
      </c>
      <c r="G100" s="40">
        <f>SUM(G101:G111)</f>
        <v>0</v>
      </c>
      <c r="H100" s="40">
        <f>SUM(H101:H111)</f>
        <v>0</v>
      </c>
    </row>
    <row r="101" spans="2:8" outlineLevel="1" x14ac:dyDescent="0.25">
      <c r="B101" s="1" t="s">
        <v>160</v>
      </c>
      <c r="C101" s="32">
        <v>99440</v>
      </c>
      <c r="E101" s="36">
        <v>0</v>
      </c>
      <c r="F101" s="66">
        <v>0</v>
      </c>
      <c r="G101" s="41">
        <f t="shared" ref="G101:G111" si="16">+E101*C101</f>
        <v>0</v>
      </c>
      <c r="H101" s="41">
        <f t="shared" ref="H101:H111" si="17">+F101*C101</f>
        <v>0</v>
      </c>
    </row>
    <row r="102" spans="2:8" outlineLevel="1" x14ac:dyDescent="0.25">
      <c r="B102" s="1" t="s">
        <v>161</v>
      </c>
      <c r="C102" s="32">
        <v>13613.65</v>
      </c>
      <c r="E102" s="36">
        <v>0</v>
      </c>
      <c r="F102" s="66">
        <v>0</v>
      </c>
      <c r="G102" s="41">
        <f t="shared" si="16"/>
        <v>0</v>
      </c>
      <c r="H102" s="41">
        <f t="shared" si="17"/>
        <v>0</v>
      </c>
    </row>
    <row r="103" spans="2:8" outlineLevel="1" x14ac:dyDescent="0.25">
      <c r="B103" s="1" t="s">
        <v>162</v>
      </c>
      <c r="C103" s="32">
        <v>5295.18</v>
      </c>
      <c r="E103" s="36">
        <v>0</v>
      </c>
      <c r="F103" s="66">
        <v>0</v>
      </c>
      <c r="G103" s="41">
        <f t="shared" si="16"/>
        <v>0</v>
      </c>
      <c r="H103" s="41">
        <f t="shared" si="17"/>
        <v>0</v>
      </c>
    </row>
    <row r="104" spans="2:8" outlineLevel="1" x14ac:dyDescent="0.25">
      <c r="B104" s="1" t="s">
        <v>163</v>
      </c>
      <c r="C104" s="32">
        <v>19142.2</v>
      </c>
      <c r="E104" s="36">
        <v>0</v>
      </c>
      <c r="F104" s="66">
        <v>0</v>
      </c>
      <c r="G104" s="41">
        <f t="shared" si="16"/>
        <v>0</v>
      </c>
      <c r="H104" s="41">
        <f t="shared" si="17"/>
        <v>0</v>
      </c>
    </row>
    <row r="105" spans="2:8" outlineLevel="1" x14ac:dyDescent="0.25">
      <c r="B105" s="1" t="s">
        <v>164</v>
      </c>
      <c r="C105" s="32">
        <v>15413.2</v>
      </c>
      <c r="E105" s="36">
        <v>0</v>
      </c>
      <c r="F105" s="66">
        <v>0</v>
      </c>
      <c r="G105" s="41">
        <f t="shared" si="16"/>
        <v>0</v>
      </c>
      <c r="H105" s="41">
        <f t="shared" si="17"/>
        <v>0</v>
      </c>
    </row>
    <row r="106" spans="2:8" outlineLevel="1" x14ac:dyDescent="0.25">
      <c r="B106" s="1" t="s">
        <v>165</v>
      </c>
      <c r="C106" s="32">
        <v>80795</v>
      </c>
      <c r="E106" s="36">
        <v>0</v>
      </c>
      <c r="F106" s="66">
        <v>0</v>
      </c>
      <c r="G106" s="41">
        <f t="shared" si="16"/>
        <v>0</v>
      </c>
      <c r="H106" s="41">
        <f t="shared" si="17"/>
        <v>0</v>
      </c>
    </row>
    <row r="107" spans="2:8" outlineLevel="1" x14ac:dyDescent="0.25">
      <c r="B107" s="1" t="s">
        <v>166</v>
      </c>
      <c r="C107" s="32">
        <v>13983.75</v>
      </c>
      <c r="E107" s="36">
        <v>0</v>
      </c>
      <c r="F107" s="66">
        <v>0</v>
      </c>
      <c r="G107" s="41">
        <f t="shared" si="16"/>
        <v>0</v>
      </c>
      <c r="H107" s="41">
        <f t="shared" si="17"/>
        <v>0</v>
      </c>
    </row>
    <row r="108" spans="2:8" outlineLevel="1" x14ac:dyDescent="0.25">
      <c r="B108" s="1" t="s">
        <v>167</v>
      </c>
      <c r="C108" s="32">
        <v>19863.14</v>
      </c>
      <c r="E108" s="36">
        <v>0</v>
      </c>
      <c r="F108" s="66">
        <v>0</v>
      </c>
      <c r="G108" s="41">
        <f t="shared" si="16"/>
        <v>0</v>
      </c>
      <c r="H108" s="41">
        <f t="shared" si="17"/>
        <v>0</v>
      </c>
    </row>
    <row r="109" spans="2:8" outlineLevel="1" x14ac:dyDescent="0.25">
      <c r="B109" s="1" t="s">
        <v>168</v>
      </c>
      <c r="C109" s="32">
        <v>21441.75</v>
      </c>
      <c r="E109" s="36">
        <v>0</v>
      </c>
      <c r="F109" s="66">
        <v>0</v>
      </c>
      <c r="G109" s="41">
        <f t="shared" si="16"/>
        <v>0</v>
      </c>
      <c r="H109" s="41">
        <f t="shared" si="17"/>
        <v>0</v>
      </c>
    </row>
    <row r="110" spans="2:8" outlineLevel="1" x14ac:dyDescent="0.25">
      <c r="B110" s="1" t="s">
        <v>169</v>
      </c>
      <c r="C110" s="32">
        <v>2664</v>
      </c>
      <c r="E110" s="36">
        <v>0</v>
      </c>
      <c r="F110" s="66">
        <v>0</v>
      </c>
      <c r="G110" s="41">
        <f t="shared" si="16"/>
        <v>0</v>
      </c>
      <c r="H110" s="41">
        <f t="shared" si="17"/>
        <v>0</v>
      </c>
    </row>
    <row r="111" spans="2:8" outlineLevel="1" x14ac:dyDescent="0.25">
      <c r="B111" s="1" t="s">
        <v>170</v>
      </c>
      <c r="C111" s="32">
        <v>62150</v>
      </c>
      <c r="E111" s="36">
        <v>0</v>
      </c>
      <c r="F111" s="66">
        <v>0</v>
      </c>
      <c r="G111" s="41">
        <f t="shared" si="16"/>
        <v>0</v>
      </c>
      <c r="H111" s="41">
        <f t="shared" si="17"/>
        <v>0</v>
      </c>
    </row>
    <row r="112" spans="2:8" s="57" customFormat="1" x14ac:dyDescent="0.25">
      <c r="B112" s="62" t="s">
        <v>171</v>
      </c>
      <c r="C112" s="63">
        <v>35580.85</v>
      </c>
      <c r="E112" s="39">
        <f>+G112/C112</f>
        <v>0</v>
      </c>
      <c r="F112" s="65">
        <f>+H112/C112</f>
        <v>0</v>
      </c>
      <c r="G112" s="40">
        <f>+G113</f>
        <v>0</v>
      </c>
      <c r="H112" s="40">
        <f>+H113</f>
        <v>0</v>
      </c>
    </row>
    <row r="113" spans="2:8" outlineLevel="1" x14ac:dyDescent="0.25">
      <c r="B113" s="1" t="s">
        <v>172</v>
      </c>
      <c r="C113" s="32">
        <v>35580.85</v>
      </c>
      <c r="E113" s="36">
        <v>0</v>
      </c>
      <c r="F113" s="66">
        <v>0</v>
      </c>
      <c r="G113" s="41">
        <f t="shared" ref="G113" si="18">+E113*C113</f>
        <v>0</v>
      </c>
      <c r="H113" s="41">
        <f t="shared" ref="H113" si="19">+F113*C113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2E60-F2E5-494D-8B06-B34773F7F432}">
  <dimension ref="A1:AL12"/>
  <sheetViews>
    <sheetView workbookViewId="0">
      <selection activeCell="E10" sqref="E10"/>
    </sheetView>
  </sheetViews>
  <sheetFormatPr baseColWidth="10" defaultRowHeight="15" x14ac:dyDescent="0.25"/>
  <cols>
    <col min="1" max="1" width="32.5703125" customWidth="1"/>
    <col min="2" max="2" width="13.7109375" bestFit="1" customWidth="1"/>
    <col min="3" max="38" width="13.85546875" customWidth="1"/>
  </cols>
  <sheetData>
    <row r="1" spans="1:38" x14ac:dyDescent="0.25">
      <c r="B1" s="28" t="s">
        <v>45</v>
      </c>
      <c r="C1" s="28" t="s">
        <v>46</v>
      </c>
      <c r="D1" s="28" t="s">
        <v>47</v>
      </c>
      <c r="E1" s="28" t="s">
        <v>48</v>
      </c>
      <c r="F1" s="28" t="s">
        <v>49</v>
      </c>
      <c r="G1" s="28" t="s">
        <v>50</v>
      </c>
      <c r="H1" s="28" t="s">
        <v>51</v>
      </c>
      <c r="I1" s="28" t="s">
        <v>52</v>
      </c>
      <c r="J1" s="28" t="s">
        <v>53</v>
      </c>
      <c r="K1" s="28" t="s">
        <v>54</v>
      </c>
      <c r="L1" s="28" t="s">
        <v>20</v>
      </c>
      <c r="M1" s="28" t="s">
        <v>21</v>
      </c>
      <c r="N1" s="28" t="s">
        <v>22</v>
      </c>
      <c r="O1" s="28" t="s">
        <v>23</v>
      </c>
      <c r="P1" s="28" t="s">
        <v>24</v>
      </c>
      <c r="Q1" s="28" t="s">
        <v>25</v>
      </c>
      <c r="R1" s="28" t="s">
        <v>26</v>
      </c>
      <c r="S1" s="28" t="s">
        <v>27</v>
      </c>
      <c r="T1" s="28" t="s">
        <v>28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3" spans="1:38" x14ac:dyDescent="0.25">
      <c r="A3" t="s">
        <v>42</v>
      </c>
      <c r="B3" s="27">
        <v>0</v>
      </c>
      <c r="C3" s="27">
        <v>1835.11</v>
      </c>
      <c r="D3" s="27">
        <v>23757.7</v>
      </c>
      <c r="E3" s="27">
        <v>154246.94</v>
      </c>
      <c r="F3" s="27">
        <v>85184.14</v>
      </c>
      <c r="G3" s="27">
        <v>83768.58</v>
      </c>
      <c r="H3" s="27">
        <v>102741.42</v>
      </c>
      <c r="I3" s="27">
        <v>87016.89</v>
      </c>
      <c r="J3" s="27">
        <v>91109.82</v>
      </c>
      <c r="K3" s="27">
        <v>30841.47</v>
      </c>
      <c r="L3" s="27">
        <v>39294.54</v>
      </c>
      <c r="M3" s="27">
        <v>90611.57</v>
      </c>
      <c r="N3" s="27">
        <v>98396.85</v>
      </c>
      <c r="O3" s="27">
        <v>95064.82</v>
      </c>
      <c r="P3" s="27">
        <v>71973</v>
      </c>
      <c r="Q3" s="27">
        <v>153453.71</v>
      </c>
      <c r="R3" s="27">
        <v>313963.18</v>
      </c>
      <c r="S3" s="27">
        <v>224527.26</v>
      </c>
      <c r="T3" s="27">
        <v>27306.03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</row>
    <row r="4" spans="1:38" s="56" customFormat="1" x14ac:dyDescent="0.25">
      <c r="A4" s="67" t="s">
        <v>173</v>
      </c>
      <c r="B4" s="31">
        <v>0</v>
      </c>
      <c r="C4" s="31">
        <f>+B4+C3</f>
        <v>1835.11</v>
      </c>
      <c r="D4" s="31">
        <f t="shared" ref="D4:T4" si="0">+C4+D3</f>
        <v>25592.81</v>
      </c>
      <c r="E4" s="31">
        <f t="shared" si="0"/>
        <v>179839.75</v>
      </c>
      <c r="F4" s="31">
        <f t="shared" si="0"/>
        <v>265023.89</v>
      </c>
      <c r="G4" s="31">
        <f t="shared" si="0"/>
        <v>348792.47000000003</v>
      </c>
      <c r="H4" s="31">
        <f t="shared" si="0"/>
        <v>451533.89</v>
      </c>
      <c r="I4" s="31">
        <f t="shared" si="0"/>
        <v>538550.78</v>
      </c>
      <c r="J4" s="31">
        <f t="shared" si="0"/>
        <v>629660.60000000009</v>
      </c>
      <c r="K4" s="31">
        <f t="shared" si="0"/>
        <v>660502.07000000007</v>
      </c>
      <c r="L4" s="31">
        <f t="shared" si="0"/>
        <v>699796.6100000001</v>
      </c>
      <c r="M4" s="31">
        <f t="shared" si="0"/>
        <v>790408.18000000017</v>
      </c>
      <c r="N4" s="31">
        <f t="shared" si="0"/>
        <v>888805.03000000014</v>
      </c>
      <c r="O4" s="31">
        <f t="shared" si="0"/>
        <v>983869.85000000009</v>
      </c>
      <c r="P4" s="31">
        <f t="shared" si="0"/>
        <v>1055842.8500000001</v>
      </c>
      <c r="Q4" s="31">
        <f t="shared" si="0"/>
        <v>1209296.56</v>
      </c>
      <c r="R4" s="31">
        <f t="shared" si="0"/>
        <v>1523259.74</v>
      </c>
      <c r="S4" s="31">
        <f t="shared" si="0"/>
        <v>1747787</v>
      </c>
      <c r="T4" s="31">
        <f t="shared" si="0"/>
        <v>1775093.03</v>
      </c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</row>
    <row r="5" spans="1:38" s="56" customFormat="1" x14ac:dyDescent="0.25">
      <c r="A5" s="6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 s="56" customFormat="1" x14ac:dyDescent="0.25">
      <c r="A6" s="6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</row>
    <row r="8" spans="1:38" x14ac:dyDescent="0.25">
      <c r="A8" t="s">
        <v>43</v>
      </c>
      <c r="B8" s="27">
        <v>0</v>
      </c>
      <c r="C8" s="43">
        <f t="shared" ref="C8:J8" si="1">+C9-B9</f>
        <v>1835.11</v>
      </c>
      <c r="D8" s="27">
        <f t="shared" si="1"/>
        <v>23757.7</v>
      </c>
      <c r="E8" s="27">
        <f t="shared" si="1"/>
        <v>42450</v>
      </c>
      <c r="F8" s="27">
        <f t="shared" si="1"/>
        <v>117382.69</v>
      </c>
      <c r="G8" s="27">
        <f t="shared" si="1"/>
        <v>101625</v>
      </c>
      <c r="H8" s="27">
        <f t="shared" si="1"/>
        <v>85000</v>
      </c>
      <c r="I8" s="27">
        <f t="shared" si="1"/>
        <v>115658.81</v>
      </c>
      <c r="J8" s="27">
        <f t="shared" si="1"/>
        <v>72507.469000000099</v>
      </c>
      <c r="K8" s="27"/>
    </row>
    <row r="9" spans="1:38" s="56" customFormat="1" x14ac:dyDescent="0.25">
      <c r="A9" s="68" t="s">
        <v>44</v>
      </c>
      <c r="B9" s="31">
        <v>0</v>
      </c>
      <c r="C9" s="31">
        <v>1835.11</v>
      </c>
      <c r="D9" s="31">
        <v>25592.81</v>
      </c>
      <c r="E9" s="31">
        <f>+D9+42450</f>
        <v>68042.81</v>
      </c>
      <c r="F9" s="31">
        <v>185425.5</v>
      </c>
      <c r="G9" s="31">
        <f>+F9+101625</f>
        <v>287050.5</v>
      </c>
      <c r="H9" s="31">
        <f>+G9+85000</f>
        <v>372050.5</v>
      </c>
      <c r="I9" s="31">
        <f>507709.31-20000</f>
        <v>487709.31</v>
      </c>
      <c r="J9" s="31">
        <f>+AVANCES!H4</f>
        <v>560216.7790000001</v>
      </c>
      <c r="K9" s="31"/>
    </row>
    <row r="10" spans="1:38" x14ac:dyDescent="0.25">
      <c r="B10" s="27"/>
    </row>
    <row r="12" spans="1:38" x14ac:dyDescent="0.25">
      <c r="B12" s="2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REPORTE</vt:lpstr>
      <vt:lpstr>AVANCES</vt:lpstr>
      <vt:lpstr>CURVA S BASE</vt:lpstr>
      <vt:lpstr>REPORTE!Área_de_impresión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Erniquez</dc:creator>
  <cp:lastModifiedBy>Jorge Erniquez</cp:lastModifiedBy>
  <cp:lastPrinted>2026-06-09T23:36:10Z</cp:lastPrinted>
  <dcterms:created xsi:type="dcterms:W3CDTF">2025-05-12T04:20:20Z</dcterms:created>
  <dcterms:modified xsi:type="dcterms:W3CDTF">2026-06-09T23:36:12Z</dcterms:modified>
</cp:coreProperties>
</file>